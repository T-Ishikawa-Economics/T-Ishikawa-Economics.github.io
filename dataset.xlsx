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e902b4d5884956d/神奈川大学/HP/"/>
    </mc:Choice>
  </mc:AlternateContent>
  <xr:revisionPtr revIDLastSave="5" documentId="11_AD4D066CA252ABDACC1048B0E1D6D05472EEDF5D" xr6:coauthVersionLast="47" xr6:coauthVersionMax="47" xr10:uidLastSave="{71AD58CD-8044-4603-8C14-47A3E13EDC1F}"/>
  <bookViews>
    <workbookView xWindow="3456" yWindow="3456" windowWidth="17280" windowHeight="10680" xr2:uid="{00000000-000D-0000-FFFF-FFFF00000000}"/>
  </bookViews>
  <sheets>
    <sheet name="統計表" sheetId="3" r:id="rId1"/>
    <sheet name="U表2011-2021" sheetId="4" r:id="rId2"/>
    <sheet name="供給表" sheetId="5" r:id="rId3"/>
  </sheets>
  <externalReferences>
    <externalReference r:id="rId4"/>
  </externalReferences>
  <definedNames>
    <definedName name="_xlnm.Print_Area" localSheetId="1">#REF!</definedName>
    <definedName name="_xlnm.Print_Area" localSheetId="2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4" l="1"/>
  <c r="C33" i="4"/>
  <c r="B33" i="4"/>
  <c r="D23" i="4"/>
  <c r="C23" i="4"/>
  <c r="B23" i="4"/>
</calcChain>
</file>

<file path=xl/sharedStrings.xml><?xml version="1.0" encoding="utf-8"?>
<sst xmlns="http://schemas.openxmlformats.org/spreadsheetml/2006/main" count="139" uniqueCount="64">
  <si>
    <t>生産統計</t>
    <rPh sb="0" eb="2">
      <t>セイサン</t>
    </rPh>
    <rPh sb="2" eb="4">
      <t>トウケイ</t>
    </rPh>
    <phoneticPr fontId="2"/>
  </si>
  <si>
    <t>労働統計</t>
    <rPh sb="0" eb="2">
      <t>ロウドウ</t>
    </rPh>
    <rPh sb="2" eb="4">
      <t>トウケイ</t>
    </rPh>
    <phoneticPr fontId="2"/>
  </si>
  <si>
    <t>資本勘定</t>
    <rPh sb="0" eb="2">
      <t>シホン</t>
    </rPh>
    <rPh sb="2" eb="4">
      <t>カンジョウ</t>
    </rPh>
    <phoneticPr fontId="2"/>
  </si>
  <si>
    <t>項目</t>
    <rPh sb="0" eb="2">
      <t>コウモク</t>
    </rPh>
    <phoneticPr fontId="2"/>
  </si>
  <si>
    <t>生産額</t>
    <rPh sb="0" eb="3">
      <t>セイサンガク</t>
    </rPh>
    <phoneticPr fontId="2"/>
  </si>
  <si>
    <t>付加価値額</t>
    <rPh sb="0" eb="2">
      <t>フカ</t>
    </rPh>
    <rPh sb="2" eb="4">
      <t>カチ</t>
    </rPh>
    <rPh sb="4" eb="5">
      <t>ガク</t>
    </rPh>
    <phoneticPr fontId="2"/>
  </si>
  <si>
    <t>中間投入</t>
    <rPh sb="0" eb="2">
      <t>チュウカン</t>
    </rPh>
    <rPh sb="2" eb="4">
      <t>トウニュウ</t>
    </rPh>
    <phoneticPr fontId="2"/>
  </si>
  <si>
    <t>雇用者報酬</t>
    <rPh sb="0" eb="3">
      <t>コヨウシャ</t>
    </rPh>
    <rPh sb="3" eb="5">
      <t>ホウシュウ</t>
    </rPh>
    <phoneticPr fontId="2"/>
  </si>
  <si>
    <t>総労働時間</t>
    <rPh sb="0" eb="1">
      <t>ソウ</t>
    </rPh>
    <rPh sb="1" eb="3">
      <t>ロウドウ</t>
    </rPh>
    <rPh sb="3" eb="5">
      <t>ジカン</t>
    </rPh>
    <phoneticPr fontId="2"/>
  </si>
  <si>
    <t>投資合計</t>
    <rPh sb="0" eb="2">
      <t>トウシ</t>
    </rPh>
    <rPh sb="2" eb="4">
      <t>ゴウケイ</t>
    </rPh>
    <phoneticPr fontId="2"/>
  </si>
  <si>
    <t>資本ストック合計</t>
    <rPh sb="0" eb="2">
      <t>シホン</t>
    </rPh>
    <rPh sb="6" eb="8">
      <t>ゴウケイ</t>
    </rPh>
    <phoneticPr fontId="2"/>
  </si>
  <si>
    <t>資本サービス</t>
    <rPh sb="0" eb="2">
      <t>シホン</t>
    </rPh>
    <phoneticPr fontId="2"/>
  </si>
  <si>
    <t>名目</t>
    <rPh sb="0" eb="2">
      <t>メイモク</t>
    </rPh>
    <phoneticPr fontId="2"/>
  </si>
  <si>
    <t>実質</t>
    <rPh sb="0" eb="2">
      <t>ジッシツ</t>
    </rPh>
    <phoneticPr fontId="2"/>
  </si>
  <si>
    <t>建物</t>
    <rPh sb="0" eb="2">
      <t>タテモノ</t>
    </rPh>
    <phoneticPr fontId="2"/>
  </si>
  <si>
    <t>構築物</t>
    <rPh sb="0" eb="3">
      <t>コウチクブツ</t>
    </rPh>
    <phoneticPr fontId="2"/>
  </si>
  <si>
    <t>輸送用機械</t>
    <rPh sb="0" eb="5">
      <t>ユソウヨウキカイ</t>
    </rPh>
    <phoneticPr fontId="2"/>
  </si>
  <si>
    <t>情報通信機械</t>
    <rPh sb="0" eb="2">
      <t>ジョウホウ</t>
    </rPh>
    <rPh sb="2" eb="4">
      <t>ツウシン</t>
    </rPh>
    <rPh sb="4" eb="6">
      <t>キカイ</t>
    </rPh>
    <phoneticPr fontId="2"/>
  </si>
  <si>
    <t>その他機械設備</t>
    <rPh sb="2" eb="3">
      <t>タ</t>
    </rPh>
    <rPh sb="3" eb="5">
      <t>キカイ</t>
    </rPh>
    <rPh sb="5" eb="7">
      <t>セツビ</t>
    </rPh>
    <phoneticPr fontId="2"/>
  </si>
  <si>
    <t>研究開発</t>
    <rPh sb="0" eb="2">
      <t>ケンキュウ</t>
    </rPh>
    <rPh sb="2" eb="4">
      <t>カイハツ</t>
    </rPh>
    <phoneticPr fontId="4"/>
  </si>
  <si>
    <t>ソフトウェア</t>
  </si>
  <si>
    <t>合計</t>
    <rPh sb="0" eb="2">
      <t>ゴウケイ</t>
    </rPh>
    <phoneticPr fontId="2"/>
  </si>
  <si>
    <t>暦年</t>
    <rPh sb="0" eb="2">
      <t>レキネン</t>
    </rPh>
    <phoneticPr fontId="2"/>
  </si>
  <si>
    <t>百万円</t>
    <rPh sb="0" eb="3">
      <t>ヒャクマンエン</t>
    </rPh>
    <phoneticPr fontId="2"/>
  </si>
  <si>
    <t>千時間</t>
    <rPh sb="0" eb="1">
      <t>セン</t>
    </rPh>
    <rPh sb="1" eb="3">
      <t>ジカン</t>
    </rPh>
    <phoneticPr fontId="2"/>
  </si>
  <si>
    <t>経済活動別財貨・サービス投入表（Ｕ表）（名目）</t>
    <phoneticPr fontId="4"/>
  </si>
  <si>
    <t>（単位：百万円）</t>
    <rPh sb="4" eb="6">
      <t>ヒャクマン</t>
    </rPh>
    <phoneticPr fontId="4"/>
  </si>
  <si>
    <t>年次</t>
    <rPh sb="0" eb="2">
      <t>ネンジ</t>
    </rPh>
    <phoneticPr fontId="4"/>
  </si>
  <si>
    <t>１．農林水産業</t>
  </si>
  <si>
    <t>２．鉱　　　業</t>
  </si>
  <si>
    <t>３．製　造　業</t>
  </si>
  <si>
    <t>　　（１）食　料　品</t>
  </si>
  <si>
    <t>　　（２）繊維製品</t>
  </si>
  <si>
    <t>　　（３）パルプ・紙・紙加工品</t>
  </si>
  <si>
    <t>　　（４）化　　　学</t>
  </si>
  <si>
    <t>　　（５）石油・石炭製品</t>
  </si>
  <si>
    <t>　　（６）窯業・土石製品</t>
  </si>
  <si>
    <t>　　（７）一次金属</t>
  </si>
  <si>
    <t>　　（８）金属製品</t>
  </si>
  <si>
    <t>　　（９）はん用・生産用・業務用機械</t>
  </si>
  <si>
    <t>　　（１０）電子部品・デバイス</t>
  </si>
  <si>
    <t>　　（１１）電気機械</t>
  </si>
  <si>
    <t>　　（１２）情報・通信機器</t>
  </si>
  <si>
    <t>　　（１３）輸送用機械</t>
  </si>
  <si>
    <t>　　（１４）その他の製造品</t>
  </si>
  <si>
    <t>４．電気・ガス・水道・廃棄物処理業</t>
  </si>
  <si>
    <t>５．MED-MIおよび卸・小売り</t>
    <rPh sb="11" eb="12">
      <t>オロシ</t>
    </rPh>
    <rPh sb="13" eb="15">
      <t>コウ</t>
    </rPh>
    <phoneticPr fontId="4"/>
  </si>
  <si>
    <t>　　（１）委託生産額</t>
    <rPh sb="5" eb="7">
      <t>イタク</t>
    </rPh>
    <rPh sb="7" eb="9">
      <t>セイサン</t>
    </rPh>
    <rPh sb="9" eb="10">
      <t>ガク</t>
    </rPh>
    <phoneticPr fontId="4"/>
  </si>
  <si>
    <t>　　（２）製造等に係る外注費</t>
    <rPh sb="5" eb="7">
      <t>セイゾウ</t>
    </rPh>
    <rPh sb="7" eb="8">
      <t>トウ</t>
    </rPh>
    <rPh sb="9" eb="10">
      <t>カカ</t>
    </rPh>
    <rPh sb="11" eb="14">
      <t>ガイチュウヒ</t>
    </rPh>
    <phoneticPr fontId="4"/>
  </si>
  <si>
    <t>　　（３）転売した商品の仕入れ額</t>
    <rPh sb="5" eb="7">
      <t>テンバイ</t>
    </rPh>
    <rPh sb="9" eb="11">
      <t>ショウヒン</t>
    </rPh>
    <rPh sb="12" eb="14">
      <t>シイ</t>
    </rPh>
    <rPh sb="15" eb="16">
      <t>ガク</t>
    </rPh>
    <phoneticPr fontId="4"/>
  </si>
  <si>
    <t>中間投入</t>
    <rPh sb="0" eb="2">
      <t>チュウカン</t>
    </rPh>
    <rPh sb="2" eb="4">
      <t>トウニュウ</t>
    </rPh>
    <phoneticPr fontId="4"/>
  </si>
  <si>
    <t>固定資本減耗</t>
    <rPh sb="0" eb="2">
      <t>コテイ</t>
    </rPh>
    <rPh sb="2" eb="4">
      <t>シホン</t>
    </rPh>
    <rPh sb="4" eb="6">
      <t>ゲンモウ</t>
    </rPh>
    <phoneticPr fontId="4"/>
  </si>
  <si>
    <t>生産・輸入品に課される税（控除）補助金</t>
    <phoneticPr fontId="4"/>
  </si>
  <si>
    <t>雇用者報酬</t>
    <rPh sb="0" eb="3">
      <t>コヨウシャ</t>
    </rPh>
    <rPh sb="3" eb="5">
      <t>ホウシュウ</t>
    </rPh>
    <phoneticPr fontId="4"/>
  </si>
  <si>
    <t>営業余剰・混合所得</t>
    <rPh sb="0" eb="2">
      <t>エイギョウ</t>
    </rPh>
    <rPh sb="2" eb="4">
      <t>ヨジョウ</t>
    </rPh>
    <rPh sb="5" eb="7">
      <t>コンゴウ</t>
    </rPh>
    <rPh sb="7" eb="9">
      <t>ショトク</t>
    </rPh>
    <phoneticPr fontId="4"/>
  </si>
  <si>
    <t>産出額</t>
    <rPh sb="0" eb="3">
      <t>サンシュツガク</t>
    </rPh>
    <phoneticPr fontId="4"/>
  </si>
  <si>
    <t>百万円</t>
    <rPh sb="0" eb="3">
      <t>ヒャクマンエン</t>
    </rPh>
    <phoneticPr fontId="4"/>
  </si>
  <si>
    <r>
      <rPr>
        <sz val="11"/>
        <color theme="1"/>
        <rFont val="Yu Gothic"/>
        <family val="2"/>
      </rPr>
      <t>百万円</t>
    </r>
    <rPh sb="0" eb="3">
      <t>ヒャクマンエン</t>
    </rPh>
    <phoneticPr fontId="4"/>
  </si>
  <si>
    <r>
      <rPr>
        <sz val="11"/>
        <color theme="1"/>
        <rFont val="Yu Gothic"/>
        <family val="2"/>
      </rPr>
      <t>病院</t>
    </r>
    <rPh sb="0" eb="2">
      <t>ビョウイン</t>
    </rPh>
    <phoneticPr fontId="2"/>
  </si>
  <si>
    <r>
      <rPr>
        <sz val="11"/>
        <color theme="1"/>
        <rFont val="Yu Gothic"/>
        <family val="2"/>
      </rPr>
      <t>診療所</t>
    </r>
    <rPh sb="0" eb="3">
      <t>シンリョウジョ</t>
    </rPh>
    <phoneticPr fontId="2"/>
  </si>
  <si>
    <r>
      <rPr>
        <sz val="11"/>
        <color theme="1"/>
        <rFont val="Yu Gothic"/>
        <family val="2"/>
      </rPr>
      <t>卸売業者</t>
    </r>
    <rPh sb="0" eb="2">
      <t>オロシウリ</t>
    </rPh>
    <rPh sb="2" eb="4">
      <t>ギョウシャ</t>
    </rPh>
    <phoneticPr fontId="3"/>
  </si>
  <si>
    <r>
      <rPr>
        <sz val="11"/>
        <color theme="1"/>
        <rFont val="Yu Gothic"/>
        <family val="2"/>
      </rPr>
      <t>小売業者</t>
    </r>
    <rPh sb="0" eb="2">
      <t>コウリ</t>
    </rPh>
    <rPh sb="2" eb="4">
      <t>ギョウシャ</t>
    </rPh>
    <phoneticPr fontId="3"/>
  </si>
  <si>
    <r>
      <rPr>
        <sz val="11"/>
        <color theme="1"/>
        <rFont val="Yu Gothic"/>
        <family val="2"/>
      </rPr>
      <t>賃貸業者</t>
    </r>
    <rPh sb="0" eb="2">
      <t>チンタイ</t>
    </rPh>
    <rPh sb="2" eb="4">
      <t>ギョウシャ</t>
    </rPh>
    <phoneticPr fontId="3"/>
  </si>
  <si>
    <r>
      <rPr>
        <sz val="11"/>
        <color theme="1"/>
        <rFont val="Yu Gothic"/>
        <family val="2"/>
      </rPr>
      <t>その他</t>
    </r>
    <rPh sb="2" eb="3">
      <t>タ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</si>
</sst>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scheme val="minor"/>
    </font>
    <font>
      <sz val="18"/>
      <color theme="3"/>
      <name val="Yu Gothic Light"/>
      <family val="2"/>
      <charset val="128"/>
      <scheme val="maj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11"/>
      <color theme="1"/>
      <name val="Times New Roman"/>
      <family val="1"/>
    </font>
    <font>
      <sz val="11"/>
      <color theme="1"/>
      <name val="Yu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7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0" xfId="0" applyFill="1"/>
    <xf numFmtId="0" fontId="0" fillId="2" borderId="0" xfId="0" applyFill="1" applyAlignment="1">
      <alignment wrapText="1"/>
    </xf>
    <xf numFmtId="0" fontId="0" fillId="2" borderId="3" xfId="0" applyFill="1" applyBorder="1"/>
    <xf numFmtId="0" fontId="0" fillId="2" borderId="3" xfId="0" applyFill="1" applyBorder="1" applyAlignment="1">
      <alignment wrapText="1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5" fillId="2" borderId="0" xfId="0" applyFont="1" applyFill="1" applyAlignment="1">
      <alignment wrapText="1"/>
    </xf>
    <xf numFmtId="0" fontId="5" fillId="2" borderId="7" xfId="0" applyFont="1" applyFill="1" applyBorder="1" applyAlignment="1">
      <alignment wrapText="1"/>
    </xf>
    <xf numFmtId="0" fontId="6" fillId="2" borderId="0" xfId="0" applyFont="1" applyFill="1"/>
    <xf numFmtId="0" fontId="6" fillId="2" borderId="7" xfId="0" applyFont="1" applyFill="1" applyBorder="1"/>
    <xf numFmtId="0" fontId="6" fillId="2" borderId="1" xfId="0" applyFont="1" applyFill="1" applyBorder="1"/>
    <xf numFmtId="0" fontId="6" fillId="2" borderId="2" xfId="0" applyFont="1" applyFill="1" applyBorder="1"/>
  </cellXfs>
  <cellStyles count="2">
    <cellStyle name="標準" xfId="0" builtinId="0"/>
    <cellStyle name="標準 2" xfId="1" xr:uid="{1B1AF1F6-F955-4BAC-9C8E-A17BEE84F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0849;&#21516;&#30740;&#31350;/&#20094;&#20808;&#29983;/&#32113;&#35336;%20&#21407;&#31295;%202025/&#21307;&#30274;&#27231;&#22120;&#12522;&#12469;&#12540;&#12481;&#12506;&#12540;&#12497;&#12540;&#22259;&#34920;.xlsx" TargetMode="External"/><Relationship Id="rId2" Type="http://schemas.openxmlformats.org/officeDocument/2006/relationships/externalLinkPath" Target="https://d.docs.live.net/5e902b4d5884956d/&#20849;&#21516;&#30740;&#31350;/&#20094;&#20808;&#29983;/&#32113;&#35336;%20&#21407;&#31295;%202025/&#21307;&#30274;&#27231;&#22120;&#12522;&#12469;&#12540;&#12481;&#12506;&#12540;&#12497;&#12540;&#22259;&#34920;.xlsx" TargetMode="External"/><Relationship Id="rId1" Type="http://schemas.openxmlformats.org/officeDocument/2006/relationships/externalLinkPath" Target="/5e902b4d5884956d/&#20849;&#21516;&#30740;&#31350;/&#20094;&#20808;&#29983;/&#32113;&#35336;%20&#21407;&#31295;%202025/&#21307;&#30274;&#27231;&#22120;&#12522;&#12469;&#12540;&#12481;&#12506;&#12540;&#12497;&#12540;&#22259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F1"/>
      <sheetName val="F2"/>
      <sheetName val="F3"/>
      <sheetName val="F4"/>
      <sheetName val="F5"/>
      <sheetName val="F6"/>
      <sheetName val="F7"/>
      <sheetName val="F8"/>
      <sheetName val="F９"/>
      <sheetName val="F10"/>
      <sheetName val="F11"/>
      <sheetName val="F12"/>
      <sheetName val="F13"/>
      <sheetName val="F14"/>
      <sheetName val="F15"/>
      <sheetName val="F16"/>
      <sheetName val="F10p"/>
      <sheetName val="F13p"/>
      <sheetName val="T1"/>
      <sheetName val="T2"/>
      <sheetName val="T3"/>
      <sheetName val="T4"/>
      <sheetName val="T5"/>
      <sheetName val="T6"/>
      <sheetName val="T7"/>
      <sheetName val="統計表"/>
      <sheetName val="U表2011-2021"/>
      <sheetName val="供給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C694-CB4A-462D-A415-3F98FA093DD3}">
  <dimension ref="A1:AQ46"/>
  <sheetViews>
    <sheetView tabSelected="1" workbookViewId="0"/>
  </sheetViews>
  <sheetFormatPr defaultRowHeight="18"/>
  <cols>
    <col min="1" max="1" width="4.8984375" customWidth="1"/>
    <col min="27" max="27" width="4.8984375" customWidth="1"/>
  </cols>
  <sheetData>
    <row r="1" spans="1:43">
      <c r="A1" s="1"/>
      <c r="B1" s="1" t="s">
        <v>0</v>
      </c>
      <c r="C1" s="1"/>
      <c r="D1" s="1"/>
      <c r="E1" s="1"/>
      <c r="F1" s="1"/>
      <c r="G1" s="2"/>
      <c r="H1" s="1" t="s">
        <v>1</v>
      </c>
      <c r="I1" s="2"/>
      <c r="J1" s="1" t="s">
        <v>2</v>
      </c>
      <c r="K1" s="1"/>
      <c r="L1" s="1"/>
      <c r="M1" s="1"/>
      <c r="N1" s="1"/>
      <c r="O1" s="1"/>
      <c r="P1" s="1"/>
      <c r="Q1" s="1"/>
      <c r="R1" s="1" t="s">
        <v>2</v>
      </c>
      <c r="S1" s="1"/>
      <c r="T1" s="1"/>
      <c r="U1" s="1"/>
      <c r="V1" s="1"/>
      <c r="W1" s="1"/>
      <c r="X1" s="1"/>
      <c r="Y1" s="1"/>
      <c r="Z1" s="1"/>
      <c r="AA1" s="2"/>
      <c r="AB1" s="1" t="s">
        <v>2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36">
      <c r="A2" s="3" t="s">
        <v>3</v>
      </c>
      <c r="B2" s="3" t="s">
        <v>4</v>
      </c>
      <c r="C2" s="3" t="s">
        <v>4</v>
      </c>
      <c r="D2" s="4" t="s">
        <v>5</v>
      </c>
      <c r="E2" s="4" t="s">
        <v>5</v>
      </c>
      <c r="F2" s="3" t="s">
        <v>6</v>
      </c>
      <c r="G2" s="5" t="s">
        <v>6</v>
      </c>
      <c r="H2" s="4" t="s">
        <v>7</v>
      </c>
      <c r="I2" s="6" t="s">
        <v>8</v>
      </c>
      <c r="J2" s="7" t="s">
        <v>9</v>
      </c>
      <c r="K2" s="8"/>
      <c r="L2" s="8"/>
      <c r="M2" s="8"/>
      <c r="N2" s="8"/>
      <c r="O2" s="8"/>
      <c r="P2" s="8"/>
      <c r="Q2" s="9"/>
      <c r="R2" s="8" t="s">
        <v>9</v>
      </c>
      <c r="S2" s="8"/>
      <c r="T2" s="8"/>
      <c r="U2" s="8"/>
      <c r="V2" s="8"/>
      <c r="W2" s="8"/>
      <c r="X2" s="8"/>
      <c r="Y2" s="9"/>
      <c r="Z2" s="8"/>
      <c r="AA2" s="10" t="s">
        <v>3</v>
      </c>
      <c r="AB2" s="7" t="s">
        <v>10</v>
      </c>
      <c r="AC2" s="8"/>
      <c r="AD2" s="8"/>
      <c r="AE2" s="8"/>
      <c r="AF2" s="8"/>
      <c r="AG2" s="8"/>
      <c r="AH2" s="8"/>
      <c r="AI2" s="9"/>
      <c r="AJ2" s="7" t="s">
        <v>11</v>
      </c>
      <c r="AK2" s="8"/>
      <c r="AL2" s="8"/>
      <c r="AM2" s="8"/>
      <c r="AN2" s="8"/>
      <c r="AO2" s="8"/>
      <c r="AP2" s="8"/>
      <c r="AQ2" s="8"/>
    </row>
    <row r="3" spans="1:43" ht="36">
      <c r="A3" s="3"/>
      <c r="B3" s="3" t="s">
        <v>12</v>
      </c>
      <c r="C3" s="3" t="s">
        <v>13</v>
      </c>
      <c r="D3" s="4" t="s">
        <v>12</v>
      </c>
      <c r="E3" s="4" t="s">
        <v>13</v>
      </c>
      <c r="F3" s="3" t="s">
        <v>12</v>
      </c>
      <c r="G3" s="10" t="s">
        <v>13</v>
      </c>
      <c r="H3" s="3" t="s">
        <v>12</v>
      </c>
      <c r="I3" s="10"/>
      <c r="J3" s="3" t="s">
        <v>12</v>
      </c>
      <c r="K3" s="11" t="s">
        <v>14</v>
      </c>
      <c r="L3" s="11" t="s">
        <v>15</v>
      </c>
      <c r="M3" s="11" t="s">
        <v>16</v>
      </c>
      <c r="N3" s="11" t="s">
        <v>17</v>
      </c>
      <c r="O3" s="11" t="s">
        <v>18</v>
      </c>
      <c r="P3" s="11" t="s">
        <v>19</v>
      </c>
      <c r="Q3" s="12" t="s">
        <v>20</v>
      </c>
      <c r="R3" s="3" t="s">
        <v>13</v>
      </c>
      <c r="S3" s="11" t="s">
        <v>14</v>
      </c>
      <c r="T3" s="11" t="s">
        <v>15</v>
      </c>
      <c r="U3" s="11" t="s">
        <v>16</v>
      </c>
      <c r="V3" s="11" t="s">
        <v>17</v>
      </c>
      <c r="W3" s="11" t="s">
        <v>18</v>
      </c>
      <c r="X3" s="11" t="s">
        <v>19</v>
      </c>
      <c r="Y3" s="12" t="s">
        <v>20</v>
      </c>
      <c r="Z3" s="11"/>
      <c r="AA3" s="10"/>
      <c r="AB3" s="3" t="s">
        <v>13</v>
      </c>
      <c r="AC3" s="11" t="s">
        <v>14</v>
      </c>
      <c r="AD3" s="11" t="s">
        <v>15</v>
      </c>
      <c r="AE3" s="11" t="s">
        <v>16</v>
      </c>
      <c r="AF3" s="11" t="s">
        <v>17</v>
      </c>
      <c r="AG3" s="11" t="s">
        <v>18</v>
      </c>
      <c r="AH3" s="11" t="s">
        <v>19</v>
      </c>
      <c r="AI3" s="12" t="s">
        <v>20</v>
      </c>
      <c r="AJ3" s="3" t="s">
        <v>21</v>
      </c>
      <c r="AK3" s="11" t="s">
        <v>14</v>
      </c>
      <c r="AL3" s="11" t="s">
        <v>15</v>
      </c>
      <c r="AM3" s="11" t="s">
        <v>16</v>
      </c>
      <c r="AN3" s="11" t="s">
        <v>17</v>
      </c>
      <c r="AO3" s="11" t="s">
        <v>18</v>
      </c>
      <c r="AP3" s="11" t="s">
        <v>19</v>
      </c>
      <c r="AQ3" s="11" t="s">
        <v>20</v>
      </c>
    </row>
    <row r="4" spans="1:43">
      <c r="A4" s="1" t="s">
        <v>22</v>
      </c>
      <c r="B4" s="1" t="s">
        <v>23</v>
      </c>
      <c r="C4" s="1" t="s">
        <v>23</v>
      </c>
      <c r="D4" s="1" t="s">
        <v>23</v>
      </c>
      <c r="E4" s="1" t="s">
        <v>23</v>
      </c>
      <c r="F4" s="1" t="s">
        <v>23</v>
      </c>
      <c r="G4" s="2" t="s">
        <v>23</v>
      </c>
      <c r="H4" s="1" t="s">
        <v>23</v>
      </c>
      <c r="I4" s="2" t="s">
        <v>24</v>
      </c>
      <c r="J4" s="1" t="s">
        <v>23</v>
      </c>
      <c r="K4" s="1" t="s">
        <v>23</v>
      </c>
      <c r="L4" s="1" t="s">
        <v>23</v>
      </c>
      <c r="M4" s="1" t="s">
        <v>23</v>
      </c>
      <c r="N4" s="1" t="s">
        <v>23</v>
      </c>
      <c r="O4" s="1" t="s">
        <v>23</v>
      </c>
      <c r="P4" s="1" t="s">
        <v>23</v>
      </c>
      <c r="Q4" s="2" t="s">
        <v>23</v>
      </c>
      <c r="R4" s="1" t="s">
        <v>23</v>
      </c>
      <c r="S4" s="1" t="s">
        <v>23</v>
      </c>
      <c r="T4" s="1" t="s">
        <v>23</v>
      </c>
      <c r="U4" s="1" t="s">
        <v>23</v>
      </c>
      <c r="V4" s="1" t="s">
        <v>23</v>
      </c>
      <c r="W4" s="1" t="s">
        <v>23</v>
      </c>
      <c r="X4" s="1" t="s">
        <v>23</v>
      </c>
      <c r="Y4" s="2" t="s">
        <v>23</v>
      </c>
      <c r="Z4" s="1"/>
      <c r="AA4" s="2" t="s">
        <v>22</v>
      </c>
      <c r="AB4" s="1" t="s">
        <v>23</v>
      </c>
      <c r="AC4" s="1" t="s">
        <v>23</v>
      </c>
      <c r="AD4" s="1" t="s">
        <v>23</v>
      </c>
      <c r="AE4" s="1" t="s">
        <v>23</v>
      </c>
      <c r="AF4" s="1" t="s">
        <v>23</v>
      </c>
      <c r="AG4" s="1" t="s">
        <v>23</v>
      </c>
      <c r="AH4" s="1" t="s">
        <v>23</v>
      </c>
      <c r="AI4" s="2" t="s">
        <v>23</v>
      </c>
      <c r="AJ4" s="1" t="s">
        <v>23</v>
      </c>
      <c r="AK4" s="1" t="s">
        <v>23</v>
      </c>
      <c r="AL4" s="1" t="s">
        <v>23</v>
      </c>
      <c r="AM4" s="1" t="s">
        <v>23</v>
      </c>
      <c r="AN4" s="1" t="s">
        <v>23</v>
      </c>
      <c r="AO4" s="1" t="s">
        <v>23</v>
      </c>
      <c r="AP4" s="1" t="s">
        <v>23</v>
      </c>
      <c r="AQ4" s="1" t="s">
        <v>23</v>
      </c>
    </row>
    <row r="5" spans="1:43">
      <c r="A5" s="13">
        <v>1980</v>
      </c>
      <c r="B5" s="13">
        <v>566922</v>
      </c>
      <c r="C5" s="13">
        <v>483752.45418908447</v>
      </c>
      <c r="D5" s="13">
        <v>268022.35303683608</v>
      </c>
      <c r="E5" s="13">
        <v>214051.86848852373</v>
      </c>
      <c r="F5" s="13">
        <v>298899.64696316392</v>
      </c>
      <c r="G5" s="14">
        <v>269700.58570056071</v>
      </c>
      <c r="H5" s="13">
        <v>117251.73058974424</v>
      </c>
      <c r="I5" s="14">
        <v>90937.873108796121</v>
      </c>
      <c r="J5" s="13">
        <v>37244.373981106197</v>
      </c>
      <c r="K5" s="13">
        <v>2957.3965666628901</v>
      </c>
      <c r="L5" s="13">
        <v>6590.527766367175</v>
      </c>
      <c r="M5" s="13">
        <v>5006.4776792767971</v>
      </c>
      <c r="N5" s="13">
        <v>7919.5979065679458</v>
      </c>
      <c r="O5" s="13">
        <v>720.77501246568022</v>
      </c>
      <c r="P5" s="13">
        <v>12250.464358190831</v>
      </c>
      <c r="Q5" s="14">
        <v>1799.1346915748709</v>
      </c>
      <c r="R5" s="13">
        <v>35990.016333807303</v>
      </c>
      <c r="S5" s="13">
        <v>3722.605925391902</v>
      </c>
      <c r="T5" s="13">
        <v>8196.0596810902025</v>
      </c>
      <c r="U5" s="13">
        <v>4463.3081725488046</v>
      </c>
      <c r="V5" s="13">
        <v>531.40159113334698</v>
      </c>
      <c r="W5" s="13">
        <v>691.92871227192268</v>
      </c>
      <c r="X5" s="13">
        <v>16047.269910326189</v>
      </c>
      <c r="Y5" s="14">
        <v>2337.4423410449403</v>
      </c>
      <c r="Z5" s="13"/>
      <c r="AA5" s="14">
        <v>1980</v>
      </c>
      <c r="AB5" s="13">
        <v>284818.32312932849</v>
      </c>
      <c r="AC5" s="13">
        <v>35926.141798439996</v>
      </c>
      <c r="AD5" s="13">
        <v>140853.61170955611</v>
      </c>
      <c r="AE5" s="13">
        <v>10192.832339609011</v>
      </c>
      <c r="AF5" s="13">
        <v>1701.9544047819177</v>
      </c>
      <c r="AG5" s="13">
        <v>3679.1623121158664</v>
      </c>
      <c r="AH5" s="13">
        <v>84624.36409602291</v>
      </c>
      <c r="AI5" s="14">
        <v>7840.2564688026659</v>
      </c>
      <c r="AJ5" s="13">
        <v>52726.729335762233</v>
      </c>
      <c r="AK5" s="13">
        <v>4042.4998732822928</v>
      </c>
      <c r="AL5" s="13">
        <v>8855.6545778517393</v>
      </c>
      <c r="AM5" s="13">
        <v>3503.2286321324427</v>
      </c>
      <c r="AN5" s="13">
        <v>10443.078737218211</v>
      </c>
      <c r="AO5" s="13">
        <v>925.80194845818232</v>
      </c>
      <c r="AP5" s="13">
        <v>23798.351008009751</v>
      </c>
      <c r="AQ5" s="13">
        <v>1158.1145588096199</v>
      </c>
    </row>
    <row r="6" spans="1:43">
      <c r="A6" s="13">
        <v>1981</v>
      </c>
      <c r="B6" s="13">
        <v>720184</v>
      </c>
      <c r="C6" s="13">
        <v>608620.19340190629</v>
      </c>
      <c r="D6" s="13">
        <v>340722.39884356793</v>
      </c>
      <c r="E6" s="13">
        <v>272118.11647201033</v>
      </c>
      <c r="F6" s="13">
        <v>379461.60115643207</v>
      </c>
      <c r="G6" s="14">
        <v>336502.07692989596</v>
      </c>
      <c r="H6" s="13">
        <v>151803.79846646465</v>
      </c>
      <c r="I6" s="14">
        <v>109306.20173832467</v>
      </c>
      <c r="J6" s="13">
        <v>61229.960344764411</v>
      </c>
      <c r="K6" s="13">
        <v>5021.8378272485743</v>
      </c>
      <c r="L6" s="13">
        <v>11648.445522712494</v>
      </c>
      <c r="M6" s="13">
        <v>7837.6888440282009</v>
      </c>
      <c r="N6" s="13">
        <v>14576.708893360277</v>
      </c>
      <c r="O6" s="13">
        <v>1298.2196849600946</v>
      </c>
      <c r="P6" s="13">
        <v>17026.641406202947</v>
      </c>
      <c r="Q6" s="14">
        <v>3820.4181662518163</v>
      </c>
      <c r="R6" s="13">
        <v>55318.867504471935</v>
      </c>
      <c r="S6" s="13">
        <v>6202.4975172537288</v>
      </c>
      <c r="T6" s="13">
        <v>14030.199410342902</v>
      </c>
      <c r="U6" s="13">
        <v>6869.156767890704</v>
      </c>
      <c r="V6" s="13">
        <v>1106.3098697798798</v>
      </c>
      <c r="W6" s="13">
        <v>1207.1631437185501</v>
      </c>
      <c r="X6" s="13">
        <v>21195.789532039722</v>
      </c>
      <c r="Y6" s="14">
        <v>4707.751263446441</v>
      </c>
      <c r="Z6" s="13"/>
      <c r="AA6" s="14">
        <v>1981</v>
      </c>
      <c r="AB6" s="13">
        <v>315028.90886120038</v>
      </c>
      <c r="AC6" s="13">
        <v>39254.547971818531</v>
      </c>
      <c r="AD6" s="13">
        <v>151644.17805057921</v>
      </c>
      <c r="AE6" s="13">
        <v>15013.229807238302</v>
      </c>
      <c r="AF6" s="13">
        <v>2391.2854453902278</v>
      </c>
      <c r="AG6" s="13">
        <v>4290.3011612716455</v>
      </c>
      <c r="AH6" s="13">
        <v>92364.879736794988</v>
      </c>
      <c r="AI6" s="14">
        <v>10070.486688107463</v>
      </c>
      <c r="AJ6" s="13">
        <v>61178.94057312252</v>
      </c>
      <c r="AK6" s="13">
        <v>4239.5322172242613</v>
      </c>
      <c r="AL6" s="13">
        <v>9201.9359441448923</v>
      </c>
      <c r="AM6" s="13">
        <v>5172.704914054636</v>
      </c>
      <c r="AN6" s="13">
        <v>13626.852607620776</v>
      </c>
      <c r="AO6" s="13">
        <v>1110.2085567687145</v>
      </c>
      <c r="AP6" s="13">
        <v>26324.744624688472</v>
      </c>
      <c r="AQ6" s="13">
        <v>1502.9617086207666</v>
      </c>
    </row>
    <row r="7" spans="1:43">
      <c r="A7" s="13">
        <v>1982</v>
      </c>
      <c r="B7" s="13">
        <v>719505</v>
      </c>
      <c r="C7" s="13">
        <v>605311.25411873742</v>
      </c>
      <c r="D7" s="13">
        <v>349160.4415320041</v>
      </c>
      <c r="E7" s="13">
        <v>273434.23724300961</v>
      </c>
      <c r="F7" s="13">
        <v>370344.5584679959</v>
      </c>
      <c r="G7" s="14">
        <v>331877.0168757278</v>
      </c>
      <c r="H7" s="13">
        <v>149232.50434614549</v>
      </c>
      <c r="I7" s="14">
        <v>102381.52393794112</v>
      </c>
      <c r="J7" s="13">
        <v>56990.562662197597</v>
      </c>
      <c r="K7" s="13">
        <v>4125.9693023521468</v>
      </c>
      <c r="L7" s="13">
        <v>10178.535064888243</v>
      </c>
      <c r="M7" s="13">
        <v>7495.6303372055918</v>
      </c>
      <c r="N7" s="13">
        <v>11035.361668603233</v>
      </c>
      <c r="O7" s="13">
        <v>943.31509354141065</v>
      </c>
      <c r="P7" s="13">
        <v>18631.685880057354</v>
      </c>
      <c r="Q7" s="14">
        <v>4580.0653155496693</v>
      </c>
      <c r="R7" s="13">
        <v>53128.285179620405</v>
      </c>
      <c r="S7" s="13">
        <v>4988.0379299972965</v>
      </c>
      <c r="T7" s="13">
        <v>11948.810098987653</v>
      </c>
      <c r="U7" s="13">
        <v>6566.6054601036867</v>
      </c>
      <c r="V7" s="13">
        <v>927.6324248808437</v>
      </c>
      <c r="W7" s="13">
        <v>867.78136835771375</v>
      </c>
      <c r="X7" s="13">
        <v>22291.727613540465</v>
      </c>
      <c r="Y7" s="14">
        <v>5537.6902837527441</v>
      </c>
      <c r="Z7" s="13"/>
      <c r="AA7" s="14">
        <v>1982</v>
      </c>
      <c r="AB7" s="13">
        <v>339362.1715228181</v>
      </c>
      <c r="AC7" s="13">
        <v>41102.222064070345</v>
      </c>
      <c r="AD7" s="13">
        <v>160105.17205440355</v>
      </c>
      <c r="AE7" s="13">
        <v>18562.176076087089</v>
      </c>
      <c r="AF7" s="13">
        <v>2733.0529361504659</v>
      </c>
      <c r="AG7" s="13">
        <v>4463.0537415033523</v>
      </c>
      <c r="AH7" s="13">
        <v>99970.591472185057</v>
      </c>
      <c r="AI7" s="14">
        <v>12425.903178418248</v>
      </c>
      <c r="AJ7" s="13">
        <v>70180.424643846418</v>
      </c>
      <c r="AK7" s="13">
        <v>4650.538214455165</v>
      </c>
      <c r="AL7" s="13">
        <v>11161.682484688721</v>
      </c>
      <c r="AM7" s="13">
        <v>6406.6982416635728</v>
      </c>
      <c r="AN7" s="13">
        <v>13078.422719671669</v>
      </c>
      <c r="AO7" s="13">
        <v>1146.3415409705615</v>
      </c>
      <c r="AP7" s="13">
        <v>31773.412896669368</v>
      </c>
      <c r="AQ7" s="13">
        <v>1963.3285457273571</v>
      </c>
    </row>
    <row r="8" spans="1:43">
      <c r="A8" s="13">
        <v>1983</v>
      </c>
      <c r="B8" s="13">
        <v>764293</v>
      </c>
      <c r="C8" s="13">
        <v>644138.80766679987</v>
      </c>
      <c r="D8" s="13">
        <v>381436.21287179348</v>
      </c>
      <c r="E8" s="13">
        <v>293965.37709999236</v>
      </c>
      <c r="F8" s="13">
        <v>382856.78712820652</v>
      </c>
      <c r="G8" s="14">
        <v>350173.43056680751</v>
      </c>
      <c r="H8" s="13">
        <v>164547.96205958052</v>
      </c>
      <c r="I8" s="14">
        <v>110434.58980411278</v>
      </c>
      <c r="J8" s="13">
        <v>80924.4417509263</v>
      </c>
      <c r="K8" s="13">
        <v>3191.0552067670451</v>
      </c>
      <c r="L8" s="13">
        <v>19723.801825982548</v>
      </c>
      <c r="M8" s="13">
        <v>9868.4967643264554</v>
      </c>
      <c r="N8" s="13">
        <v>17832.638054649011</v>
      </c>
      <c r="O8" s="13">
        <v>1854.7986555058887</v>
      </c>
      <c r="P8" s="13">
        <v>21916.522427456275</v>
      </c>
      <c r="Q8" s="14">
        <v>6537.1288162390902</v>
      </c>
      <c r="R8" s="13">
        <v>72290.116656881772</v>
      </c>
      <c r="S8" s="13">
        <v>3864.1929366037134</v>
      </c>
      <c r="T8" s="13">
        <v>23096.388671332767</v>
      </c>
      <c r="U8" s="13">
        <v>8668.1019483299533</v>
      </c>
      <c r="V8" s="13">
        <v>1649.1722315016805</v>
      </c>
      <c r="W8" s="13">
        <v>1686.099616388984</v>
      </c>
      <c r="X8" s="13">
        <v>25713.599606802567</v>
      </c>
      <c r="Y8" s="14">
        <v>7612.561645922101</v>
      </c>
      <c r="Z8" s="13"/>
      <c r="AA8" s="14">
        <v>1983</v>
      </c>
      <c r="AB8" s="13">
        <v>379736.17194209149</v>
      </c>
      <c r="AC8" s="13">
        <v>41678.237235548433</v>
      </c>
      <c r="AD8" s="13">
        <v>179519.14176848502</v>
      </c>
      <c r="AE8" s="13">
        <v>23499.280633123537</v>
      </c>
      <c r="AF8" s="13">
        <v>3712.6271982952821</v>
      </c>
      <c r="AG8" s="13">
        <v>5426.1386517687934</v>
      </c>
      <c r="AH8" s="13">
        <v>109788.8670349102</v>
      </c>
      <c r="AI8" s="14">
        <v>16111.879419960183</v>
      </c>
      <c r="AJ8" s="13">
        <v>80431.988945962774</v>
      </c>
      <c r="AK8" s="13">
        <v>4816.3651485924265</v>
      </c>
      <c r="AL8" s="13">
        <v>12702.796958732355</v>
      </c>
      <c r="AM8" s="13">
        <v>7963.9809985671336</v>
      </c>
      <c r="AN8" s="13">
        <v>15827.634257821001</v>
      </c>
      <c r="AO8" s="13">
        <v>1457.6552577771024</v>
      </c>
      <c r="AP8" s="13">
        <v>34987.67724040756</v>
      </c>
      <c r="AQ8" s="13">
        <v>2675.8790840652023</v>
      </c>
    </row>
    <row r="9" spans="1:43">
      <c r="A9" s="13">
        <v>1984</v>
      </c>
      <c r="B9" s="13">
        <v>852223</v>
      </c>
      <c r="C9" s="13">
        <v>702125.0409108462</v>
      </c>
      <c r="D9" s="13">
        <v>416380.5397165863</v>
      </c>
      <c r="E9" s="13">
        <v>306059.50207781768</v>
      </c>
      <c r="F9" s="13">
        <v>435842.4602834137</v>
      </c>
      <c r="G9" s="14">
        <v>396065.53883302852</v>
      </c>
      <c r="H9" s="13">
        <v>179334.19361619838</v>
      </c>
      <c r="I9" s="14">
        <v>115891.89929703642</v>
      </c>
      <c r="J9" s="13">
        <v>72707.046592698549</v>
      </c>
      <c r="K9" s="13">
        <v>2348.4184053388417</v>
      </c>
      <c r="L9" s="13">
        <v>13379.367507039515</v>
      </c>
      <c r="M9" s="13">
        <v>9246.5055290249147</v>
      </c>
      <c r="N9" s="13">
        <v>15790.990269935552</v>
      </c>
      <c r="O9" s="13">
        <v>1660.2183595824854</v>
      </c>
      <c r="P9" s="13">
        <v>24536.977373209484</v>
      </c>
      <c r="Q9" s="14">
        <v>5744.5691485677726</v>
      </c>
      <c r="R9" s="13">
        <v>63875.519837231703</v>
      </c>
      <c r="S9" s="13">
        <v>2792.2793618122028</v>
      </c>
      <c r="T9" s="13">
        <v>15421.504154311555</v>
      </c>
      <c r="U9" s="13">
        <v>8125.1923241062632</v>
      </c>
      <c r="V9" s="13">
        <v>1572.9111784488957</v>
      </c>
      <c r="W9" s="13">
        <v>1505.4044587085998</v>
      </c>
      <c r="X9" s="13">
        <v>27950.253880153414</v>
      </c>
      <c r="Y9" s="14">
        <v>6507.9744796907689</v>
      </c>
      <c r="Z9" s="13"/>
      <c r="AA9" s="14">
        <v>1984</v>
      </c>
      <c r="AB9" s="13">
        <v>407088.72525211924</v>
      </c>
      <c r="AC9" s="13">
        <v>41136.257618516764</v>
      </c>
      <c r="AD9" s="13">
        <v>190811.70566212141</v>
      </c>
      <c r="AE9" s="13">
        <v>26901.117549971968</v>
      </c>
      <c r="AF9" s="13">
        <v>4375.9447131618335</v>
      </c>
      <c r="AG9" s="13">
        <v>6052.5086488908482</v>
      </c>
      <c r="AH9" s="13">
        <v>120282.69105651289</v>
      </c>
      <c r="AI9" s="14">
        <v>17528.500002943532</v>
      </c>
      <c r="AJ9" s="13">
        <v>86510.140604779546</v>
      </c>
      <c r="AK9" s="13">
        <v>4833.4320356063872</v>
      </c>
      <c r="AL9" s="13">
        <v>13511.500050600913</v>
      </c>
      <c r="AM9" s="13">
        <v>9180.8855090380202</v>
      </c>
      <c r="AN9" s="13">
        <v>17940.109152744779</v>
      </c>
      <c r="AO9" s="13">
        <v>1603.3084625845202</v>
      </c>
      <c r="AP9" s="13">
        <v>36378.302662452268</v>
      </c>
      <c r="AQ9" s="13">
        <v>3062.6027317526641</v>
      </c>
    </row>
    <row r="10" spans="1:43">
      <c r="A10" s="13">
        <v>1985</v>
      </c>
      <c r="B10" s="13">
        <v>968187</v>
      </c>
      <c r="C10" s="13">
        <v>828747.08833994088</v>
      </c>
      <c r="D10" s="13">
        <v>461844.07754357922</v>
      </c>
      <c r="E10" s="13">
        <v>394013.7962978771</v>
      </c>
      <c r="F10" s="13">
        <v>506342.92245642078</v>
      </c>
      <c r="G10" s="14">
        <v>434733.29204206378</v>
      </c>
      <c r="H10" s="13">
        <v>209838.64606445402</v>
      </c>
      <c r="I10" s="14">
        <v>132441.32946770726</v>
      </c>
      <c r="J10" s="13">
        <v>95410.947260795801</v>
      </c>
      <c r="K10" s="13">
        <v>5001.3913535348711</v>
      </c>
      <c r="L10" s="13">
        <v>16653.085077464704</v>
      </c>
      <c r="M10" s="13">
        <v>11959.201147232639</v>
      </c>
      <c r="N10" s="13">
        <v>21755.532902043124</v>
      </c>
      <c r="O10" s="13">
        <v>2612.9262897300569</v>
      </c>
      <c r="P10" s="13">
        <v>29167.74187702117</v>
      </c>
      <c r="Q10" s="14">
        <v>8261.0686137692464</v>
      </c>
      <c r="R10" s="13">
        <v>82173.679480665611</v>
      </c>
      <c r="S10" s="13">
        <v>5904.7236382627216</v>
      </c>
      <c r="T10" s="13">
        <v>19017.865422624051</v>
      </c>
      <c r="U10" s="13">
        <v>10515.035578545509</v>
      </c>
      <c r="V10" s="13">
        <v>2243.4186350420323</v>
      </c>
      <c r="W10" s="13">
        <v>2351.5398963223297</v>
      </c>
      <c r="X10" s="13">
        <v>32442.998604102868</v>
      </c>
      <c r="Y10" s="14">
        <v>9698.0977057661057</v>
      </c>
      <c r="Z10" s="13"/>
      <c r="AA10" s="14">
        <v>1985</v>
      </c>
      <c r="AB10" s="13">
        <v>449459.14353076974</v>
      </c>
      <c r="AC10" s="13">
        <v>43750.080647298149</v>
      </c>
      <c r="AD10" s="13">
        <v>205440.90185451668</v>
      </c>
      <c r="AE10" s="13">
        <v>32009.028500973109</v>
      </c>
      <c r="AF10" s="13">
        <v>5547.2568934792162</v>
      </c>
      <c r="AG10" s="13">
        <v>7423.5421440928603</v>
      </c>
      <c r="AH10" s="13">
        <v>133600.74178263021</v>
      </c>
      <c r="AI10" s="14">
        <v>21687.59170777948</v>
      </c>
      <c r="AJ10" s="13">
        <v>89651.824062748216</v>
      </c>
      <c r="AK10" s="13">
        <v>4550.0210604264421</v>
      </c>
      <c r="AL10" s="13">
        <v>11422.464124437445</v>
      </c>
      <c r="AM10" s="13">
        <v>10759.717174649921</v>
      </c>
      <c r="AN10" s="13">
        <v>23174.890252031699</v>
      </c>
      <c r="AO10" s="13">
        <v>1928.0671748673819</v>
      </c>
      <c r="AP10" s="13">
        <v>34076.458239454667</v>
      </c>
      <c r="AQ10" s="13">
        <v>3740.2060368806597</v>
      </c>
    </row>
    <row r="11" spans="1:43">
      <c r="A11" s="13">
        <v>1986</v>
      </c>
      <c r="B11" s="13">
        <v>979817</v>
      </c>
      <c r="C11" s="13">
        <v>871891.26874983043</v>
      </c>
      <c r="D11" s="13">
        <v>471675.8488324146</v>
      </c>
      <c r="E11" s="13">
        <v>380569.70841295831</v>
      </c>
      <c r="F11" s="13">
        <v>508141.1511675854</v>
      </c>
      <c r="G11" s="14">
        <v>491321.56033687212</v>
      </c>
      <c r="H11" s="13">
        <v>218232.77913558911</v>
      </c>
      <c r="I11" s="14">
        <v>129125.91765513837</v>
      </c>
      <c r="J11" s="13">
        <v>87212.2807339438</v>
      </c>
      <c r="K11" s="13">
        <v>4182.2635541548962</v>
      </c>
      <c r="L11" s="13">
        <v>12235.552360689999</v>
      </c>
      <c r="M11" s="13">
        <v>12348.036816044403</v>
      </c>
      <c r="N11" s="13">
        <v>17690.001716771254</v>
      </c>
      <c r="O11" s="13">
        <v>2265.6363070876855</v>
      </c>
      <c r="P11" s="13">
        <v>30841.089701742385</v>
      </c>
      <c r="Q11" s="14">
        <v>7649.7002774531848</v>
      </c>
      <c r="R11" s="13">
        <v>76931.560260413404</v>
      </c>
      <c r="S11" s="13">
        <v>5002.0510350541017</v>
      </c>
      <c r="T11" s="13">
        <v>14069.902527204295</v>
      </c>
      <c r="U11" s="13">
        <v>10894.714505391988</v>
      </c>
      <c r="V11" s="13">
        <v>1956.4893396785483</v>
      </c>
      <c r="W11" s="13">
        <v>2073.1898532925961</v>
      </c>
      <c r="X11" s="13">
        <v>34242.601896954598</v>
      </c>
      <c r="Y11" s="14">
        <v>8692.6111028372725</v>
      </c>
      <c r="Z11" s="13"/>
      <c r="AA11" s="14">
        <v>1986</v>
      </c>
      <c r="AB11" s="13">
        <v>481074.25317870779</v>
      </c>
      <c r="AC11" s="13">
        <v>45252.125230568403</v>
      </c>
      <c r="AD11" s="13">
        <v>214785.66363906709</v>
      </c>
      <c r="AE11" s="13">
        <v>36469.928277669504</v>
      </c>
      <c r="AF11" s="13">
        <v>6144.6682942553562</v>
      </c>
      <c r="AG11" s="13">
        <v>8294.1181700424131</v>
      </c>
      <c r="AH11" s="13">
        <v>146600.82573614659</v>
      </c>
      <c r="AI11" s="14">
        <v>23526.923830958436</v>
      </c>
      <c r="AJ11" s="13">
        <v>86837.22021207244</v>
      </c>
      <c r="AK11" s="13">
        <v>3469.8659270729058</v>
      </c>
      <c r="AL11" s="13">
        <v>6146.7394630331528</v>
      </c>
      <c r="AM11" s="13">
        <v>12211.293169521407</v>
      </c>
      <c r="AN11" s="13">
        <v>22630.349089042367</v>
      </c>
      <c r="AO11" s="13">
        <v>2013.2227639009609</v>
      </c>
      <c r="AP11" s="13">
        <v>36525.295862250146</v>
      </c>
      <c r="AQ11" s="13">
        <v>3840.4539372515073</v>
      </c>
    </row>
    <row r="12" spans="1:43">
      <c r="A12" s="13">
        <v>1987</v>
      </c>
      <c r="B12" s="13">
        <v>1024175</v>
      </c>
      <c r="C12" s="13">
        <v>932107.12594046467</v>
      </c>
      <c r="D12" s="13">
        <v>498436.49895500508</v>
      </c>
      <c r="E12" s="13">
        <v>402092.2026459474</v>
      </c>
      <c r="F12" s="13">
        <v>525738.50104499492</v>
      </c>
      <c r="G12" s="14">
        <v>530014.92329451721</v>
      </c>
      <c r="H12" s="13">
        <v>228378.82689461729</v>
      </c>
      <c r="I12" s="14">
        <v>134520.18129690082</v>
      </c>
      <c r="J12" s="13">
        <v>104874.57921897431</v>
      </c>
      <c r="K12" s="13">
        <v>6513.7583854896056</v>
      </c>
      <c r="L12" s="13">
        <v>16541.871526147661</v>
      </c>
      <c r="M12" s="13">
        <v>13882.109622574788</v>
      </c>
      <c r="N12" s="13">
        <v>20649.183600720924</v>
      </c>
      <c r="O12" s="13">
        <v>3741.5196924348888</v>
      </c>
      <c r="P12" s="13">
        <v>33796.36100416549</v>
      </c>
      <c r="Q12" s="14">
        <v>9749.7753874409591</v>
      </c>
      <c r="R12" s="13">
        <v>93152.65266124632</v>
      </c>
      <c r="S12" s="13">
        <v>7787.9921546747919</v>
      </c>
      <c r="T12" s="13">
        <v>19019.04644029498</v>
      </c>
      <c r="U12" s="13">
        <v>12334.535358080719</v>
      </c>
      <c r="V12" s="13">
        <v>2544.19578632093</v>
      </c>
      <c r="W12" s="13">
        <v>3485.8044550819664</v>
      </c>
      <c r="X12" s="13">
        <v>37430.519388541979</v>
      </c>
      <c r="Y12" s="14">
        <v>10550.559078250933</v>
      </c>
      <c r="Z12" s="13"/>
      <c r="AA12" s="14">
        <v>1987</v>
      </c>
      <c r="AB12" s="13">
        <v>524743.07987572881</v>
      </c>
      <c r="AC12" s="13">
        <v>49419.947366797729</v>
      </c>
      <c r="AD12" s="13">
        <v>228864.63981566351</v>
      </c>
      <c r="AE12" s="13">
        <v>41474.008051938647</v>
      </c>
      <c r="AF12" s="13">
        <v>7183.4203484837235</v>
      </c>
      <c r="AG12" s="13">
        <v>10436.275481577508</v>
      </c>
      <c r="AH12" s="13">
        <v>160721.81383264126</v>
      </c>
      <c r="AI12" s="14">
        <v>26642.974978626502</v>
      </c>
      <c r="AJ12" s="13">
        <v>84321.139088685974</v>
      </c>
      <c r="AK12" s="13">
        <v>2713.468730475925</v>
      </c>
      <c r="AL12" s="13">
        <v>1315.502577614187</v>
      </c>
      <c r="AM12" s="13">
        <v>12776.51203843443</v>
      </c>
      <c r="AN12" s="13">
        <v>21504.268680643072</v>
      </c>
      <c r="AO12" s="13">
        <v>2285.4726230210626</v>
      </c>
      <c r="AP12" s="13">
        <v>39646.531973199533</v>
      </c>
      <c r="AQ12" s="13">
        <v>4079.3824652977564</v>
      </c>
    </row>
    <row r="13" spans="1:43">
      <c r="A13" s="13">
        <v>1988</v>
      </c>
      <c r="B13" s="13">
        <v>1109312</v>
      </c>
      <c r="C13" s="13">
        <v>1012766.443031713</v>
      </c>
      <c r="D13" s="13">
        <v>555454.8563493609</v>
      </c>
      <c r="E13" s="13">
        <v>451880.32668030838</v>
      </c>
      <c r="F13" s="13">
        <v>553857.1436506391</v>
      </c>
      <c r="G13" s="14">
        <v>560886.11635140469</v>
      </c>
      <c r="H13" s="13">
        <v>237418.53851984508</v>
      </c>
      <c r="I13" s="14">
        <v>133237.10859163877</v>
      </c>
      <c r="J13" s="13">
        <v>133877.32287803822</v>
      </c>
      <c r="K13" s="13">
        <v>12048.778705410219</v>
      </c>
      <c r="L13" s="13">
        <v>34383.324554247651</v>
      </c>
      <c r="M13" s="13">
        <v>13432.847707900313</v>
      </c>
      <c r="N13" s="13">
        <v>22595.265482008523</v>
      </c>
      <c r="O13" s="13">
        <v>3051.1868397726498</v>
      </c>
      <c r="P13" s="13">
        <v>38790.134205892784</v>
      </c>
      <c r="Q13" s="14">
        <v>9575.785382806087</v>
      </c>
      <c r="R13" s="13">
        <v>122859.76663670632</v>
      </c>
      <c r="S13" s="13">
        <v>14086.294666756072</v>
      </c>
      <c r="T13" s="13">
        <v>38831.199647584326</v>
      </c>
      <c r="U13" s="13">
        <v>11976.526061919136</v>
      </c>
      <c r="V13" s="13">
        <v>3142.1383057693615</v>
      </c>
      <c r="W13" s="13">
        <v>2836.5660829137933</v>
      </c>
      <c r="X13" s="13">
        <v>42138.745892812367</v>
      </c>
      <c r="Y13" s="14">
        <v>9848.2959789512734</v>
      </c>
      <c r="Z13" s="13"/>
      <c r="AA13" s="14">
        <v>1988</v>
      </c>
      <c r="AB13" s="13">
        <v>592624.52528286155</v>
      </c>
      <c r="AC13" s="13">
        <v>59552.646244209987</v>
      </c>
      <c r="AD13" s="13">
        <v>262431.95274748758</v>
      </c>
      <c r="AE13" s="13">
        <v>45114.258495418107</v>
      </c>
      <c r="AF13" s="13">
        <v>8565.6206688745733</v>
      </c>
      <c r="AG13" s="13">
        <v>11582.164936475743</v>
      </c>
      <c r="AH13" s="13">
        <v>177305.79132606369</v>
      </c>
      <c r="AI13" s="14">
        <v>28072.090864331796</v>
      </c>
      <c r="AJ13" s="13">
        <v>97420.600797452455</v>
      </c>
      <c r="AK13" s="13">
        <v>3397.7261630632079</v>
      </c>
      <c r="AL13" s="13">
        <v>1784.7272380145043</v>
      </c>
      <c r="AM13" s="13">
        <v>13754.124198860321</v>
      </c>
      <c r="AN13" s="13">
        <v>21358.518563530397</v>
      </c>
      <c r="AO13" s="13">
        <v>2488.0238181647587</v>
      </c>
      <c r="AP13" s="13">
        <v>50209.683867127722</v>
      </c>
      <c r="AQ13" s="13">
        <v>4427.7969486915363</v>
      </c>
    </row>
    <row r="14" spans="1:43">
      <c r="A14" s="13">
        <v>1989</v>
      </c>
      <c r="B14" s="13">
        <v>1219514</v>
      </c>
      <c r="C14" s="13">
        <v>1098471.3889861049</v>
      </c>
      <c r="D14" s="13">
        <v>604511.8111880403</v>
      </c>
      <c r="E14" s="13">
        <v>498497.06400173216</v>
      </c>
      <c r="F14" s="13">
        <v>615002.1888119597</v>
      </c>
      <c r="G14" s="14">
        <v>599974.32498437271</v>
      </c>
      <c r="H14" s="13">
        <v>251820.87347890114</v>
      </c>
      <c r="I14" s="14">
        <v>135472.95651861659</v>
      </c>
      <c r="J14" s="13">
        <v>119229.73050280754</v>
      </c>
      <c r="K14" s="13">
        <v>11138.094766496259</v>
      </c>
      <c r="L14" s="13">
        <v>21821.688776524941</v>
      </c>
      <c r="M14" s="13">
        <v>12442.640232598185</v>
      </c>
      <c r="N14" s="13">
        <v>18503.989139500951</v>
      </c>
      <c r="O14" s="13">
        <v>2521.2520428463322</v>
      </c>
      <c r="P14" s="13">
        <v>44666.749912143408</v>
      </c>
      <c r="Q14" s="14">
        <v>8135.3156326974567</v>
      </c>
      <c r="R14" s="13">
        <v>109042.39937006039</v>
      </c>
      <c r="S14" s="13">
        <v>12624.92760942739</v>
      </c>
      <c r="T14" s="13">
        <v>24019.315945357768</v>
      </c>
      <c r="U14" s="13">
        <v>11496.955735242036</v>
      </c>
      <c r="V14" s="13">
        <v>2697.2063053134907</v>
      </c>
      <c r="W14" s="13">
        <v>2347.7295351933972</v>
      </c>
      <c r="X14" s="13">
        <v>47914.977972326422</v>
      </c>
      <c r="Y14" s="14">
        <v>7941.2862671998928</v>
      </c>
      <c r="Z14" s="13"/>
      <c r="AA14" s="14">
        <v>1989</v>
      </c>
      <c r="AB14" s="13">
        <v>640761.52276505751</v>
      </c>
      <c r="AC14" s="13">
        <v>67413.362154100585</v>
      </c>
      <c r="AD14" s="13">
        <v>280415.33377965313</v>
      </c>
      <c r="AE14" s="13">
        <v>47543.248273081103</v>
      </c>
      <c r="AF14" s="13">
        <v>9164.2499103137925</v>
      </c>
      <c r="AG14" s="13">
        <v>12053.58375196007</v>
      </c>
      <c r="AH14" s="13">
        <v>197029.14847754597</v>
      </c>
      <c r="AI14" s="14">
        <v>27142.596418402838</v>
      </c>
      <c r="AJ14" s="13">
        <v>121506.38323692766</v>
      </c>
      <c r="AK14" s="13">
        <v>5144.4003730153536</v>
      </c>
      <c r="AL14" s="13">
        <v>7297.508533992851</v>
      </c>
      <c r="AM14" s="13">
        <v>13245.230563243762</v>
      </c>
      <c r="AN14" s="13">
        <v>21918.102793384402</v>
      </c>
      <c r="AO14" s="13">
        <v>2633.9045103832032</v>
      </c>
      <c r="AP14" s="13">
        <v>66659.82615506521</v>
      </c>
      <c r="AQ14" s="13">
        <v>4607.4103078428798</v>
      </c>
    </row>
    <row r="15" spans="1:43">
      <c r="A15" s="13">
        <v>1990</v>
      </c>
      <c r="B15" s="13">
        <v>1274216</v>
      </c>
      <c r="C15" s="13">
        <v>1140427.1806846068</v>
      </c>
      <c r="D15" s="13">
        <v>591590.88524064643</v>
      </c>
      <c r="E15" s="13">
        <v>492116.56539909216</v>
      </c>
      <c r="F15" s="13">
        <v>682625.11475935357</v>
      </c>
      <c r="G15" s="14">
        <v>648310.61528551462</v>
      </c>
      <c r="H15" s="13">
        <v>271043.7954496459</v>
      </c>
      <c r="I15" s="14">
        <v>135345.38943513788</v>
      </c>
      <c r="J15" s="13">
        <v>133724.86570491042</v>
      </c>
      <c r="K15" s="13">
        <v>12226.770911767428</v>
      </c>
      <c r="L15" s="13">
        <v>21717.746827668663</v>
      </c>
      <c r="M15" s="13">
        <v>14695.774215233121</v>
      </c>
      <c r="N15" s="13">
        <v>28441.527901384034</v>
      </c>
      <c r="O15" s="13">
        <v>3897.1738586165834</v>
      </c>
      <c r="P15" s="13">
        <v>45690.701858662542</v>
      </c>
      <c r="Q15" s="14">
        <v>7055.170131578052</v>
      </c>
      <c r="R15" s="13">
        <v>111763.32608150864</v>
      </c>
      <c r="S15" s="13">
        <v>13213.980804461276</v>
      </c>
      <c r="T15" s="13">
        <v>22953.966727509156</v>
      </c>
      <c r="U15" s="13">
        <v>13697.65082200197</v>
      </c>
      <c r="V15" s="13">
        <v>4231.1932745106933</v>
      </c>
      <c r="W15" s="13">
        <v>3522.4635913757152</v>
      </c>
      <c r="X15" s="13">
        <v>47745.111775911661</v>
      </c>
      <c r="Y15" s="14">
        <v>6398.9590857381609</v>
      </c>
      <c r="Z15" s="13"/>
      <c r="AA15" s="14">
        <v>1990</v>
      </c>
      <c r="AB15" s="13">
        <v>687023.4174224271</v>
      </c>
      <c r="AC15" s="13">
        <v>75234.27398623382</v>
      </c>
      <c r="AD15" s="13">
        <v>296919.74783023028</v>
      </c>
      <c r="AE15" s="13">
        <v>51684.706192193764</v>
      </c>
      <c r="AF15" s="13">
        <v>11150.201956797606</v>
      </c>
      <c r="AG15" s="13">
        <v>13623.366775518254</v>
      </c>
      <c r="AH15" s="13">
        <v>213446.62564552779</v>
      </c>
      <c r="AI15" s="14">
        <v>24964.495035925698</v>
      </c>
      <c r="AJ15" s="13">
        <v>161842.19289528872</v>
      </c>
      <c r="AK15" s="13">
        <v>8004.2116851295505</v>
      </c>
      <c r="AL15" s="13">
        <v>16592.261804224141</v>
      </c>
      <c r="AM15" s="13">
        <v>14676.974912835016</v>
      </c>
      <c r="AN15" s="13">
        <v>26806.587031077761</v>
      </c>
      <c r="AO15" s="13">
        <v>3259.5418602812406</v>
      </c>
      <c r="AP15" s="13">
        <v>87837.926195216642</v>
      </c>
      <c r="AQ15" s="13">
        <v>4664.6894065243823</v>
      </c>
    </row>
    <row r="16" spans="1:43">
      <c r="A16" s="13">
        <v>1991</v>
      </c>
      <c r="B16" s="13">
        <v>1297607</v>
      </c>
      <c r="C16" s="13">
        <v>1157093.8129126695</v>
      </c>
      <c r="D16" s="13">
        <v>585359.06569498288</v>
      </c>
      <c r="E16" s="13">
        <v>486167.57770239993</v>
      </c>
      <c r="F16" s="13">
        <v>712247.93430501712</v>
      </c>
      <c r="G16" s="14">
        <v>670926.23521026957</v>
      </c>
      <c r="H16" s="13">
        <v>280594.86175336881</v>
      </c>
      <c r="I16" s="14">
        <v>130815.70217690966</v>
      </c>
      <c r="J16" s="13">
        <v>142240.07108030067</v>
      </c>
      <c r="K16" s="13">
        <v>15313.609240377795</v>
      </c>
      <c r="L16" s="13">
        <v>27281.132966056648</v>
      </c>
      <c r="M16" s="13">
        <v>14588.939443811452</v>
      </c>
      <c r="N16" s="13">
        <v>27593.609844052444</v>
      </c>
      <c r="O16" s="13">
        <v>4259.2904366880721</v>
      </c>
      <c r="P16" s="13">
        <v>45696.122251457142</v>
      </c>
      <c r="Q16" s="14">
        <v>7507.3668978570968</v>
      </c>
      <c r="R16" s="13">
        <v>118700.38322293558</v>
      </c>
      <c r="S16" s="13">
        <v>15960.041714596473</v>
      </c>
      <c r="T16" s="13">
        <v>28054.306853839174</v>
      </c>
      <c r="U16" s="13">
        <v>13713.527447636659</v>
      </c>
      <c r="V16" s="13">
        <v>4270.66483836113</v>
      </c>
      <c r="W16" s="13">
        <v>3784.7235659503544</v>
      </c>
      <c r="X16" s="13">
        <v>46352.906748769659</v>
      </c>
      <c r="Y16" s="14">
        <v>6564.2120537821129</v>
      </c>
      <c r="Z16" s="13"/>
      <c r="AA16" s="14">
        <v>1991</v>
      </c>
      <c r="AB16" s="13">
        <v>735721.69977569708</v>
      </c>
      <c r="AC16" s="13">
        <v>85175.573781931598</v>
      </c>
      <c r="AD16" s="13">
        <v>318144.9004839742</v>
      </c>
      <c r="AE16" s="13">
        <v>55009.607695199476</v>
      </c>
      <c r="AF16" s="13">
        <v>12689.067315743323</v>
      </c>
      <c r="AG16" s="13">
        <v>15201.104923834651</v>
      </c>
      <c r="AH16" s="13">
        <v>225861.51891665853</v>
      </c>
      <c r="AI16" s="14">
        <v>23639.926658355289</v>
      </c>
      <c r="AJ16" s="13">
        <v>187355.92633735613</v>
      </c>
      <c r="AK16" s="13">
        <v>10367.939503397025</v>
      </c>
      <c r="AL16" s="13">
        <v>21631.990884634917</v>
      </c>
      <c r="AM16" s="13">
        <v>15439.095015588564</v>
      </c>
      <c r="AN16" s="13">
        <v>28667.233403170798</v>
      </c>
      <c r="AO16" s="13">
        <v>3770.8632151584466</v>
      </c>
      <c r="AP16" s="13">
        <v>102881.18925693074</v>
      </c>
      <c r="AQ16" s="13">
        <v>4597.6150584756269</v>
      </c>
    </row>
    <row r="17" spans="1:43">
      <c r="A17" s="13">
        <v>1992</v>
      </c>
      <c r="B17" s="13">
        <v>1365932</v>
      </c>
      <c r="C17" s="13">
        <v>1217042.9659953541</v>
      </c>
      <c r="D17" s="13">
        <v>634146.58947766433</v>
      </c>
      <c r="E17" s="13">
        <v>508090.95347434573</v>
      </c>
      <c r="F17" s="13">
        <v>731785.41052233567</v>
      </c>
      <c r="G17" s="14">
        <v>708952.01252100838</v>
      </c>
      <c r="H17" s="13">
        <v>310751.99718724674</v>
      </c>
      <c r="I17" s="14">
        <v>130267.62583718332</v>
      </c>
      <c r="J17" s="13">
        <v>136820.70113422329</v>
      </c>
      <c r="K17" s="13">
        <v>13043.176196307406</v>
      </c>
      <c r="L17" s="13">
        <v>23119.920734282117</v>
      </c>
      <c r="M17" s="13">
        <v>15913.706531963964</v>
      </c>
      <c r="N17" s="13">
        <v>21396.077571461392</v>
      </c>
      <c r="O17" s="13">
        <v>3161.0714488753779</v>
      </c>
      <c r="P17" s="13">
        <v>50703.7242891641</v>
      </c>
      <c r="Q17" s="14">
        <v>9483.0243621689151</v>
      </c>
      <c r="R17" s="13">
        <v>117250.17960973777</v>
      </c>
      <c r="S17" s="13">
        <v>13424.526779488668</v>
      </c>
      <c r="T17" s="13">
        <v>23589.935943223936</v>
      </c>
      <c r="U17" s="13">
        <v>14796.817529802787</v>
      </c>
      <c r="V17" s="13">
        <v>3440.8919712876318</v>
      </c>
      <c r="W17" s="13">
        <v>2786.1662896420557</v>
      </c>
      <c r="X17" s="13">
        <v>50969.854496854437</v>
      </c>
      <c r="Y17" s="14">
        <v>8241.9865994382617</v>
      </c>
      <c r="Z17" s="13"/>
      <c r="AA17" s="14">
        <v>1992</v>
      </c>
      <c r="AB17" s="13">
        <v>778829.97080320644</v>
      </c>
      <c r="AC17" s="13">
        <v>91786.054658865731</v>
      </c>
      <c r="AD17" s="13">
        <v>334417.50371606671</v>
      </c>
      <c r="AE17" s="13">
        <v>58749.494078267162</v>
      </c>
      <c r="AF17" s="13">
        <v>13021.137794673841</v>
      </c>
      <c r="AG17" s="13">
        <v>15524.692215815492</v>
      </c>
      <c r="AH17" s="13">
        <v>240919.39190576426</v>
      </c>
      <c r="AI17" s="14">
        <v>24411.696433753277</v>
      </c>
      <c r="AJ17" s="13">
        <v>200796.61933771035</v>
      </c>
      <c r="AK17" s="13">
        <v>11204.646877348177</v>
      </c>
      <c r="AL17" s="13">
        <v>23035.920650164808</v>
      </c>
      <c r="AM17" s="13">
        <v>16724.845700578495</v>
      </c>
      <c r="AN17" s="13">
        <v>29785.246546509457</v>
      </c>
      <c r="AO17" s="13">
        <v>3865.7240060908698</v>
      </c>
      <c r="AP17" s="13">
        <v>111472.37702798417</v>
      </c>
      <c r="AQ17" s="13">
        <v>4707.8585290343954</v>
      </c>
    </row>
    <row r="18" spans="1:43">
      <c r="A18" s="13">
        <v>1993</v>
      </c>
      <c r="B18" s="13">
        <v>1334831</v>
      </c>
      <c r="C18" s="13">
        <v>1213176.2627163411</v>
      </c>
      <c r="D18" s="13">
        <v>636024.09195978718</v>
      </c>
      <c r="E18" s="13">
        <v>503811.66733723017</v>
      </c>
      <c r="F18" s="13">
        <v>698806.90804021282</v>
      </c>
      <c r="G18" s="14">
        <v>709364.59537911089</v>
      </c>
      <c r="H18" s="13">
        <v>305553.75354329805</v>
      </c>
      <c r="I18" s="14">
        <v>129737.24290617071</v>
      </c>
      <c r="J18" s="13">
        <v>119382.76713315537</v>
      </c>
      <c r="K18" s="13">
        <v>10578.132558682921</v>
      </c>
      <c r="L18" s="13">
        <v>14076.540319937714</v>
      </c>
      <c r="M18" s="13">
        <v>12324.435066287037</v>
      </c>
      <c r="N18" s="13">
        <v>17701.948759994579</v>
      </c>
      <c r="O18" s="13">
        <v>2483.1599932315157</v>
      </c>
      <c r="P18" s="13">
        <v>51886.998438579991</v>
      </c>
      <c r="Q18" s="14">
        <v>10331.551996441614</v>
      </c>
      <c r="R18" s="13">
        <v>103270.61646481405</v>
      </c>
      <c r="S18" s="13">
        <v>10943.074542364198</v>
      </c>
      <c r="T18" s="13">
        <v>14512.322900861021</v>
      </c>
      <c r="U18" s="13">
        <v>11432.702779025149</v>
      </c>
      <c r="V18" s="13">
        <v>2980.6190581812511</v>
      </c>
      <c r="W18" s="13">
        <v>2212.8678974838776</v>
      </c>
      <c r="X18" s="13">
        <v>52038.656000408744</v>
      </c>
      <c r="Y18" s="14">
        <v>9150.3732864897975</v>
      </c>
      <c r="Z18" s="13"/>
      <c r="AA18" s="14">
        <v>1993</v>
      </c>
      <c r="AB18" s="13">
        <v>803531.99371537019</v>
      </c>
      <c r="AC18" s="13">
        <v>95386.244828520663</v>
      </c>
      <c r="AD18" s="13">
        <v>341238.2240314582</v>
      </c>
      <c r="AE18" s="13">
        <v>58373.548547560611</v>
      </c>
      <c r="AF18" s="13">
        <v>12811.578093160002</v>
      </c>
      <c r="AG18" s="13">
        <v>15222.559974337259</v>
      </c>
      <c r="AH18" s="13">
        <v>254651.8645931565</v>
      </c>
      <c r="AI18" s="14">
        <v>25847.973647177037</v>
      </c>
      <c r="AJ18" s="13">
        <v>195043.04584318152</v>
      </c>
      <c r="AK18" s="13">
        <v>10725.259026225285</v>
      </c>
      <c r="AL18" s="13">
        <v>20280.022331502081</v>
      </c>
      <c r="AM18" s="13">
        <v>15677.971031779345</v>
      </c>
      <c r="AN18" s="13">
        <v>29623.505520693376</v>
      </c>
      <c r="AO18" s="13">
        <v>3666.1967165557303</v>
      </c>
      <c r="AP18" s="13">
        <v>110237.17868815675</v>
      </c>
      <c r="AQ18" s="13">
        <v>4832.9125282689656</v>
      </c>
    </row>
    <row r="19" spans="1:43">
      <c r="A19" s="13">
        <v>1994</v>
      </c>
      <c r="B19" s="13">
        <v>1317708</v>
      </c>
      <c r="C19" s="13">
        <v>1245212.1250441079</v>
      </c>
      <c r="D19" s="13">
        <v>615775.14902884117</v>
      </c>
      <c r="E19" s="13">
        <v>517007.66865402914</v>
      </c>
      <c r="F19" s="13">
        <v>701932.85097115883</v>
      </c>
      <c r="G19" s="14">
        <v>728204.45639007876</v>
      </c>
      <c r="H19" s="13">
        <v>325486.76294885779</v>
      </c>
      <c r="I19" s="14">
        <v>141754.6077774078</v>
      </c>
      <c r="J19" s="13">
        <v>116898.39415665918</v>
      </c>
      <c r="K19" s="13">
        <v>7081.87067513291</v>
      </c>
      <c r="L19" s="13">
        <v>11660.259457867043</v>
      </c>
      <c r="M19" s="13">
        <v>11506.200458878193</v>
      </c>
      <c r="N19" s="13">
        <v>21931.533297579328</v>
      </c>
      <c r="O19" s="13">
        <v>3156.0503999249404</v>
      </c>
      <c r="P19" s="13">
        <v>48305.5956385303</v>
      </c>
      <c r="Q19" s="14">
        <v>13256.884228746459</v>
      </c>
      <c r="R19" s="13">
        <v>97543.061088285351</v>
      </c>
      <c r="S19" s="13">
        <v>7374.0487835536214</v>
      </c>
      <c r="T19" s="13">
        <v>12183.891927918181</v>
      </c>
      <c r="U19" s="13">
        <v>10710.422793168114</v>
      </c>
      <c r="V19" s="13">
        <v>3845.7348231966803</v>
      </c>
      <c r="W19" s="13">
        <v>2846.3030218726399</v>
      </c>
      <c r="X19" s="13">
        <v>48245.511496991487</v>
      </c>
      <c r="Y19" s="14">
        <v>12337.148241584624</v>
      </c>
      <c r="Z19" s="13"/>
      <c r="AA19" s="14">
        <v>1994</v>
      </c>
      <c r="AB19" s="13">
        <v>819600.09531510412</v>
      </c>
      <c r="AC19" s="13">
        <v>95129.39402579263</v>
      </c>
      <c r="AD19" s="13">
        <v>345573.63680665282</v>
      </c>
      <c r="AE19" s="13">
        <v>57350.888082669044</v>
      </c>
      <c r="AF19" s="13">
        <v>13518.476283532482</v>
      </c>
      <c r="AG19" s="13">
        <v>15602.808280367262</v>
      </c>
      <c r="AH19" s="13">
        <v>262407.72961983609</v>
      </c>
      <c r="AI19" s="14">
        <v>30017.162216253717</v>
      </c>
      <c r="AJ19" s="13">
        <v>177776.12037130687</v>
      </c>
      <c r="AK19" s="13">
        <v>9591.9719593196151</v>
      </c>
      <c r="AL19" s="13">
        <v>16614.957004737407</v>
      </c>
      <c r="AM19" s="13">
        <v>14293.732779023125</v>
      </c>
      <c r="AN19" s="13">
        <v>30006.126810916216</v>
      </c>
      <c r="AO19" s="13">
        <v>3556.8792575873672</v>
      </c>
      <c r="AP19" s="13">
        <v>98307.748349521193</v>
      </c>
      <c r="AQ19" s="13">
        <v>5404.704210201955</v>
      </c>
    </row>
    <row r="20" spans="1:43">
      <c r="A20" s="13">
        <v>1995</v>
      </c>
      <c r="B20" s="13">
        <v>1405902</v>
      </c>
      <c r="C20" s="13">
        <v>1329373.2641732681</v>
      </c>
      <c r="D20" s="13">
        <v>673899.51293552329</v>
      </c>
      <c r="E20" s="13">
        <v>563399.85371488729</v>
      </c>
      <c r="F20" s="13">
        <v>732002.48706447671</v>
      </c>
      <c r="G20" s="14">
        <v>765973.41045838082</v>
      </c>
      <c r="H20" s="13">
        <v>343723.08301264135</v>
      </c>
      <c r="I20" s="14">
        <v>142519.76668238969</v>
      </c>
      <c r="J20" s="13">
        <v>111994.96164064709</v>
      </c>
      <c r="K20" s="13">
        <v>5440.8511152546371</v>
      </c>
      <c r="L20" s="13">
        <v>10630.92246672631</v>
      </c>
      <c r="M20" s="13">
        <v>11262.156943566188</v>
      </c>
      <c r="N20" s="13">
        <v>20399.579896103678</v>
      </c>
      <c r="O20" s="13">
        <v>3113.5227199817618</v>
      </c>
      <c r="P20" s="13">
        <v>52792.104169876467</v>
      </c>
      <c r="Q20" s="14">
        <v>8355.8243291380568</v>
      </c>
      <c r="R20" s="13">
        <v>94970.888871087518</v>
      </c>
      <c r="S20" s="13">
        <v>5698.4732358719184</v>
      </c>
      <c r="T20" s="13">
        <v>11174.002156557963</v>
      </c>
      <c r="U20" s="13">
        <v>10559.021213850812</v>
      </c>
      <c r="V20" s="13">
        <v>3931.6799662363023</v>
      </c>
      <c r="W20" s="13">
        <v>2825.2935520200635</v>
      </c>
      <c r="X20" s="13">
        <v>52735.410081299582</v>
      </c>
      <c r="Y20" s="14">
        <v>8047.0086652508689</v>
      </c>
      <c r="Z20" s="13"/>
      <c r="AA20" s="14">
        <v>1995</v>
      </c>
      <c r="AB20" s="13">
        <v>830436.9766121835</v>
      </c>
      <c r="AC20" s="13">
        <v>93217.515739601149</v>
      </c>
      <c r="AD20" s="13">
        <v>348799.44531665777</v>
      </c>
      <c r="AE20" s="13">
        <v>56382.380791903379</v>
      </c>
      <c r="AF20" s="13">
        <v>14138.129560303327</v>
      </c>
      <c r="AG20" s="13">
        <v>15900.446890967829</v>
      </c>
      <c r="AH20" s="13">
        <v>273420.31069158175</v>
      </c>
      <c r="AI20" s="14">
        <v>28578.747621168408</v>
      </c>
      <c r="AJ20" s="13">
        <v>178548.6108082369</v>
      </c>
      <c r="AK20" s="13">
        <v>10018.061744878307</v>
      </c>
      <c r="AL20" s="13">
        <v>18605.203699488793</v>
      </c>
      <c r="AM20" s="13">
        <v>13956.95671484555</v>
      </c>
      <c r="AN20" s="13">
        <v>28438.049137791069</v>
      </c>
      <c r="AO20" s="13">
        <v>3567.8762934980541</v>
      </c>
      <c r="AP20" s="13">
        <v>98772.548982787033</v>
      </c>
      <c r="AQ20" s="13">
        <v>5189.9142349481026</v>
      </c>
    </row>
    <row r="21" spans="1:43">
      <c r="A21" s="13">
        <v>1996</v>
      </c>
      <c r="B21" s="13">
        <v>1524133</v>
      </c>
      <c r="C21" s="13">
        <v>1434942.7746632905</v>
      </c>
      <c r="D21" s="13">
        <v>749245.70613539172</v>
      </c>
      <c r="E21" s="13">
        <v>621729.77468779264</v>
      </c>
      <c r="F21" s="13">
        <v>774887.29386460828</v>
      </c>
      <c r="G21" s="14">
        <v>813212.99997549783</v>
      </c>
      <c r="H21" s="13">
        <v>349133.49135096039</v>
      </c>
      <c r="I21" s="14">
        <v>141939.83118096134</v>
      </c>
      <c r="J21" s="13">
        <v>132480.45209502307</v>
      </c>
      <c r="K21" s="13">
        <v>6709.2635235911566</v>
      </c>
      <c r="L21" s="13">
        <v>16516.302435155729</v>
      </c>
      <c r="M21" s="13">
        <v>11726.537750952697</v>
      </c>
      <c r="N21" s="13">
        <v>22881.241660936306</v>
      </c>
      <c r="O21" s="13">
        <v>3784.7919765201996</v>
      </c>
      <c r="P21" s="13">
        <v>61179.401570971764</v>
      </c>
      <c r="Q21" s="14">
        <v>9682.9131768951956</v>
      </c>
      <c r="R21" s="13">
        <v>113984.11564772464</v>
      </c>
      <c r="S21" s="13">
        <v>6997.8188918531487</v>
      </c>
      <c r="T21" s="13">
        <v>17359.585564594752</v>
      </c>
      <c r="U21" s="13">
        <v>11028.574832594013</v>
      </c>
      <c r="V21" s="13">
        <v>4963.8669024187284</v>
      </c>
      <c r="W21" s="13">
        <v>3453.5800656097917</v>
      </c>
      <c r="X21" s="13">
        <v>60824.880709488265</v>
      </c>
      <c r="Y21" s="14">
        <v>9355.8086811659468</v>
      </c>
      <c r="Z21" s="13"/>
      <c r="AA21" s="14">
        <v>1996</v>
      </c>
      <c r="AB21" s="13">
        <v>859064.01743242261</v>
      </c>
      <c r="AC21" s="13">
        <v>92757.933372286207</v>
      </c>
      <c r="AD21" s="13">
        <v>358136.6436389694</v>
      </c>
      <c r="AE21" s="13">
        <v>56078.097085324807</v>
      </c>
      <c r="AF21" s="13">
        <v>15638.154720447739</v>
      </c>
      <c r="AG21" s="13">
        <v>16778.154560240833</v>
      </c>
      <c r="AH21" s="13">
        <v>290771.36200110847</v>
      </c>
      <c r="AI21" s="14">
        <v>28903.672054045135</v>
      </c>
      <c r="AJ21" s="13">
        <v>186367.415668184</v>
      </c>
      <c r="AK21" s="13">
        <v>10077.130919478606</v>
      </c>
      <c r="AL21" s="13">
        <v>19670.691884364631</v>
      </c>
      <c r="AM21" s="13">
        <v>13969.994620871257</v>
      </c>
      <c r="AN21" s="13">
        <v>29489.257698682428</v>
      </c>
      <c r="AO21" s="13">
        <v>3779.9184751390153</v>
      </c>
      <c r="AP21" s="13">
        <v>104148.73087634829</v>
      </c>
      <c r="AQ21" s="13">
        <v>5231.6911932997664</v>
      </c>
    </row>
    <row r="22" spans="1:43">
      <c r="A22" s="13">
        <v>1997</v>
      </c>
      <c r="B22" s="13">
        <v>1582565</v>
      </c>
      <c r="C22" s="13">
        <v>1477006.5524086652</v>
      </c>
      <c r="D22" s="13">
        <v>742247.25464927568</v>
      </c>
      <c r="E22" s="13">
        <v>619889.20964731765</v>
      </c>
      <c r="F22" s="13">
        <v>840317.74535072432</v>
      </c>
      <c r="G22" s="14">
        <v>857117.34276134754</v>
      </c>
      <c r="H22" s="13">
        <v>357250.33692260151</v>
      </c>
      <c r="I22" s="14">
        <v>140851.54456189845</v>
      </c>
      <c r="J22" s="13">
        <v>135129.02660516658</v>
      </c>
      <c r="K22" s="13">
        <v>6057.8783202041359</v>
      </c>
      <c r="L22" s="13">
        <v>15416.789493370521</v>
      </c>
      <c r="M22" s="13">
        <v>13033.868981470761</v>
      </c>
      <c r="N22" s="13">
        <v>22920.504947412366</v>
      </c>
      <c r="O22" s="13">
        <v>3386.5239596583929</v>
      </c>
      <c r="P22" s="13">
        <v>62874.38738568862</v>
      </c>
      <c r="Q22" s="14">
        <v>11439.073517361787</v>
      </c>
      <c r="R22" s="13">
        <v>116112.34862651821</v>
      </c>
      <c r="S22" s="13">
        <v>6283.1665069941619</v>
      </c>
      <c r="T22" s="13">
        <v>16137.948355119166</v>
      </c>
      <c r="U22" s="13">
        <v>12394.446146656857</v>
      </c>
      <c r="V22" s="13">
        <v>5365.3731821443962</v>
      </c>
      <c r="W22" s="13">
        <v>3087.3481325534744</v>
      </c>
      <c r="X22" s="13">
        <v>62025.239286090247</v>
      </c>
      <c r="Y22" s="14">
        <v>10818.82701695992</v>
      </c>
      <c r="Z22" s="13"/>
      <c r="AA22" s="14">
        <v>1997</v>
      </c>
      <c r="AB22" s="13">
        <v>886331.27519878815</v>
      </c>
      <c r="AC22" s="13">
        <v>91620.465209497474</v>
      </c>
      <c r="AD22" s="13">
        <v>366037.44919039228</v>
      </c>
      <c r="AE22" s="13">
        <v>57200.845717831369</v>
      </c>
      <c r="AF22" s="13">
        <v>17172.179996082439</v>
      </c>
      <c r="AG22" s="13">
        <v>17147.441654035294</v>
      </c>
      <c r="AH22" s="13">
        <v>306563.95472902246</v>
      </c>
      <c r="AI22" s="14">
        <v>30588.938701926792</v>
      </c>
      <c r="AJ22" s="13">
        <v>183676.20419616817</v>
      </c>
      <c r="AK22" s="13">
        <v>9455.4320926971668</v>
      </c>
      <c r="AL22" s="13">
        <v>17807.948640920589</v>
      </c>
      <c r="AM22" s="13">
        <v>14095.522758270936</v>
      </c>
      <c r="AN22" s="13">
        <v>28469.114189755161</v>
      </c>
      <c r="AO22" s="13">
        <v>3771.6459463159408</v>
      </c>
      <c r="AP22" s="13">
        <v>104665.4690228145</v>
      </c>
      <c r="AQ22" s="13">
        <v>5411.0715453938883</v>
      </c>
    </row>
    <row r="23" spans="1:43">
      <c r="A23" s="13">
        <v>1998</v>
      </c>
      <c r="B23" s="13">
        <v>1571577</v>
      </c>
      <c r="C23" s="13">
        <v>1458635.0758795501</v>
      </c>
      <c r="D23" s="13">
        <v>705175.59039546002</v>
      </c>
      <c r="E23" s="13">
        <v>582646.09947000595</v>
      </c>
      <c r="F23" s="13">
        <v>866401.40960453998</v>
      </c>
      <c r="G23" s="14">
        <v>875988.97640954412</v>
      </c>
      <c r="H23" s="13">
        <v>355206.44343056955</v>
      </c>
      <c r="I23" s="14">
        <v>129285.15848932725</v>
      </c>
      <c r="J23" s="13">
        <v>171026.69820753424</v>
      </c>
      <c r="K23" s="13">
        <v>9191.2380029573978</v>
      </c>
      <c r="L23" s="13">
        <v>26026.952441523783</v>
      </c>
      <c r="M23" s="13">
        <v>13460.294675346981</v>
      </c>
      <c r="N23" s="13">
        <v>33871.962996623413</v>
      </c>
      <c r="O23" s="13">
        <v>4620.2891130134403</v>
      </c>
      <c r="P23" s="13">
        <v>63141.067122841348</v>
      </c>
      <c r="Q23" s="14">
        <v>20714.893855227896</v>
      </c>
      <c r="R23" s="13">
        <v>144655.82787440153</v>
      </c>
      <c r="S23" s="13">
        <v>9739.0803478124053</v>
      </c>
      <c r="T23" s="13">
        <v>27584.97653047409</v>
      </c>
      <c r="U23" s="13">
        <v>12895.294651937356</v>
      </c>
      <c r="V23" s="13">
        <v>8216.0767493495678</v>
      </c>
      <c r="W23" s="13">
        <v>4221.5277748030467</v>
      </c>
      <c r="X23" s="13">
        <v>62784.214361577542</v>
      </c>
      <c r="Y23" s="14">
        <v>19214.657458447513</v>
      </c>
      <c r="Z23" s="13"/>
      <c r="AA23" s="14">
        <v>1998</v>
      </c>
      <c r="AB23" s="13">
        <v>938346.39145704929</v>
      </c>
      <c r="AC23" s="13">
        <v>94029.908340550086</v>
      </c>
      <c r="AD23" s="13">
        <v>385203.56438948732</v>
      </c>
      <c r="AE23" s="13">
        <v>58598.770380484617</v>
      </c>
      <c r="AF23" s="13">
        <v>21181.072646391811</v>
      </c>
      <c r="AG23" s="13">
        <v>18591.083880884624</v>
      </c>
      <c r="AH23" s="13">
        <v>320604.50028868543</v>
      </c>
      <c r="AI23" s="14">
        <v>40137.491530565436</v>
      </c>
      <c r="AJ23" s="13">
        <v>197044.45451741357</v>
      </c>
      <c r="AK23" s="13">
        <v>9748.3729219808938</v>
      </c>
      <c r="AL23" s="13">
        <v>18872.867871842376</v>
      </c>
      <c r="AM23" s="13">
        <v>14295.319302391646</v>
      </c>
      <c r="AN23" s="13">
        <v>32512.953763713016</v>
      </c>
      <c r="AO23" s="13">
        <v>4043.07918920253</v>
      </c>
      <c r="AP23" s="13">
        <v>110469.32943425549</v>
      </c>
      <c r="AQ23" s="13">
        <v>7102.532034027623</v>
      </c>
    </row>
    <row r="24" spans="1:43">
      <c r="A24" s="13">
        <v>1999</v>
      </c>
      <c r="B24" s="13">
        <v>1556395</v>
      </c>
      <c r="C24" s="13">
        <v>1471158.1779488651</v>
      </c>
      <c r="D24" s="13">
        <v>723539.48176448082</v>
      </c>
      <c r="E24" s="13">
        <v>602223.7275075207</v>
      </c>
      <c r="F24" s="13">
        <v>832855.51823551918</v>
      </c>
      <c r="G24" s="14">
        <v>868934.45044134441</v>
      </c>
      <c r="H24" s="13">
        <v>329700.68876257329</v>
      </c>
      <c r="I24" s="14">
        <v>123737.2198443207</v>
      </c>
      <c r="J24" s="13">
        <v>136021.67302884412</v>
      </c>
      <c r="K24" s="13">
        <v>4259.6001682872593</v>
      </c>
      <c r="L24" s="13">
        <v>15711.978707079817</v>
      </c>
      <c r="M24" s="13">
        <v>12804.998634049891</v>
      </c>
      <c r="N24" s="13">
        <v>19297.29253651524</v>
      </c>
      <c r="O24" s="13">
        <v>2805.8379706228043</v>
      </c>
      <c r="P24" s="13">
        <v>64412.888676890492</v>
      </c>
      <c r="Q24" s="14">
        <v>16729.076335398619</v>
      </c>
      <c r="R24" s="13">
        <v>121251.88619469135</v>
      </c>
      <c r="S24" s="13">
        <v>4596.5998042883102</v>
      </c>
      <c r="T24" s="13">
        <v>16779.556262105736</v>
      </c>
      <c r="U24" s="13">
        <v>12372.346042383711</v>
      </c>
      <c r="V24" s="13">
        <v>4923.1126907164808</v>
      </c>
      <c r="W24" s="13">
        <v>2615.7638356934913</v>
      </c>
      <c r="X24" s="13">
        <v>64549.281503817088</v>
      </c>
      <c r="Y24" s="14">
        <v>15415.226055686542</v>
      </c>
      <c r="Z24" s="13"/>
      <c r="AA24" s="14">
        <v>1999</v>
      </c>
      <c r="AB24" s="13">
        <v>959577.16890043218</v>
      </c>
      <c r="AC24" s="13">
        <v>91104.115477594401</v>
      </c>
      <c r="AD24" s="13">
        <v>393123.43867063487</v>
      </c>
      <c r="AE24" s="13">
        <v>59192.763576390913</v>
      </c>
      <c r="AF24" s="13">
        <v>20914.822538742297</v>
      </c>
      <c r="AG24" s="13">
        <v>18195.092127874806</v>
      </c>
      <c r="AH24" s="13">
        <v>334177.6662466015</v>
      </c>
      <c r="AI24" s="14">
        <v>42869.270262593294</v>
      </c>
      <c r="AJ24" s="13">
        <v>205198.04027610793</v>
      </c>
      <c r="AK24" s="13">
        <v>9574.3392421607441</v>
      </c>
      <c r="AL24" s="13">
        <v>20631.389540060765</v>
      </c>
      <c r="AM24" s="13">
        <v>14271.834110523201</v>
      </c>
      <c r="AN24" s="13">
        <v>29893.637522049419</v>
      </c>
      <c r="AO24" s="13">
        <v>3959.2266803070534</v>
      </c>
      <c r="AP24" s="13">
        <v>119210.25565515613</v>
      </c>
      <c r="AQ24" s="13">
        <v>7657.3575258506262</v>
      </c>
    </row>
    <row r="25" spans="1:43">
      <c r="A25" s="13">
        <v>2000</v>
      </c>
      <c r="B25" s="13">
        <v>1559975</v>
      </c>
      <c r="C25" s="13">
        <v>1491401.0595925734</v>
      </c>
      <c r="D25" s="13">
        <v>750358.21484223078</v>
      </c>
      <c r="E25" s="13">
        <v>648039.46747902012</v>
      </c>
      <c r="F25" s="13">
        <v>809616.78515776922</v>
      </c>
      <c r="G25" s="14">
        <v>843361.59211355331</v>
      </c>
      <c r="H25" s="13">
        <v>341648.07433978311</v>
      </c>
      <c r="I25" s="14">
        <v>126684.61712173071</v>
      </c>
      <c r="J25" s="13">
        <v>126143.01889935567</v>
      </c>
      <c r="K25" s="13">
        <v>2753.9324853445778</v>
      </c>
      <c r="L25" s="13">
        <v>7949.9567080965689</v>
      </c>
      <c r="M25" s="13">
        <v>10218.193729730829</v>
      </c>
      <c r="N25" s="13">
        <v>19326.812653277517</v>
      </c>
      <c r="O25" s="13">
        <v>2917.1754186005164</v>
      </c>
      <c r="P25" s="13">
        <v>66946.255954196153</v>
      </c>
      <c r="Q25" s="14">
        <v>16030.691950109514</v>
      </c>
      <c r="R25" s="13">
        <v>111102.52734394779</v>
      </c>
      <c r="S25" s="13">
        <v>2960.0307922425791</v>
      </c>
      <c r="T25" s="13">
        <v>8497.9475511443779</v>
      </c>
      <c r="U25" s="13">
        <v>9967.4935451604451</v>
      </c>
      <c r="V25" s="13">
        <v>5210.3541813779948</v>
      </c>
      <c r="W25" s="13">
        <v>2757.5613034909697</v>
      </c>
      <c r="X25" s="13">
        <v>66979.338027103877</v>
      </c>
      <c r="Y25" s="14">
        <v>14729.801943427552</v>
      </c>
      <c r="Z25" s="13"/>
      <c r="AA25" s="14">
        <v>2000</v>
      </c>
      <c r="AB25" s="13">
        <v>967699.10765499645</v>
      </c>
      <c r="AC25" s="13">
        <v>86775.817031629442</v>
      </c>
      <c r="AD25" s="13">
        <v>392579.5471323547</v>
      </c>
      <c r="AE25" s="13">
        <v>57262.51164269678</v>
      </c>
      <c r="AF25" s="13">
        <v>21001.045198128428</v>
      </c>
      <c r="AG25" s="13">
        <v>18005.048506650059</v>
      </c>
      <c r="AH25" s="13">
        <v>348022.75534049573</v>
      </c>
      <c r="AI25" s="14">
        <v>44052.382803041364</v>
      </c>
      <c r="AJ25" s="13">
        <v>210764.95403271474</v>
      </c>
      <c r="AK25" s="13">
        <v>8308.7113650284755</v>
      </c>
      <c r="AL25" s="13">
        <v>17453.372624306328</v>
      </c>
      <c r="AM25" s="13">
        <v>13687.662750476618</v>
      </c>
      <c r="AN25" s="13">
        <v>29818.5927573261</v>
      </c>
      <c r="AO25" s="13">
        <v>3895.6204489329707</v>
      </c>
      <c r="AP25" s="13">
        <v>129960.03624073841</v>
      </c>
      <c r="AQ25" s="13">
        <v>7640.9578459058239</v>
      </c>
    </row>
    <row r="26" spans="1:43">
      <c r="A26" s="13">
        <v>2001</v>
      </c>
      <c r="B26" s="13">
        <v>1588438</v>
      </c>
      <c r="C26" s="13">
        <v>1532133.0781882766</v>
      </c>
      <c r="D26" s="13">
        <v>766616.58002600842</v>
      </c>
      <c r="E26" s="13">
        <v>656084.64128837292</v>
      </c>
      <c r="F26" s="13">
        <v>821821.41997399158</v>
      </c>
      <c r="G26" s="14">
        <v>876048.4368999037</v>
      </c>
      <c r="H26" s="13">
        <v>347529.28488039842</v>
      </c>
      <c r="I26" s="14">
        <v>126720.06515905329</v>
      </c>
      <c r="J26" s="13">
        <v>162210.48571363106</v>
      </c>
      <c r="K26" s="13">
        <v>5699.2044130628137</v>
      </c>
      <c r="L26" s="13">
        <v>19596.875253064572</v>
      </c>
      <c r="M26" s="13">
        <v>12966.500450424766</v>
      </c>
      <c r="N26" s="13">
        <v>23102.998765566976</v>
      </c>
      <c r="O26" s="13">
        <v>3265.651870562006</v>
      </c>
      <c r="P26" s="13">
        <v>74588.968430602952</v>
      </c>
      <c r="Q26" s="14">
        <v>22990.286530346977</v>
      </c>
      <c r="R26" s="13">
        <v>147378.47867522511</v>
      </c>
      <c r="S26" s="13">
        <v>6200.8851635200317</v>
      </c>
      <c r="T26" s="13">
        <v>21079.726289121016</v>
      </c>
      <c r="U26" s="13">
        <v>12883.416591848427</v>
      </c>
      <c r="V26" s="13">
        <v>7318.3000719146157</v>
      </c>
      <c r="W26" s="13">
        <v>3141.8908859370581</v>
      </c>
      <c r="X26" s="13">
        <v>75329.068402948207</v>
      </c>
      <c r="Y26" s="14">
        <v>21425.191269935753</v>
      </c>
      <c r="Z26" s="13"/>
      <c r="AA26" s="14">
        <v>2001</v>
      </c>
      <c r="AB26" s="13">
        <v>1010278.1815469463</v>
      </c>
      <c r="AC26" s="13">
        <v>86034.636832619115</v>
      </c>
      <c r="AD26" s="13">
        <v>404629.94383743155</v>
      </c>
      <c r="AE26" s="13">
        <v>58636.163394363153</v>
      </c>
      <c r="AF26" s="13">
        <v>23174.08919650158</v>
      </c>
      <c r="AG26" s="13">
        <v>18230.121534509806</v>
      </c>
      <c r="AH26" s="13">
        <v>368016.2056443051</v>
      </c>
      <c r="AI26" s="14">
        <v>51557.021107216045</v>
      </c>
      <c r="AJ26" s="13">
        <v>216318.79726890632</v>
      </c>
      <c r="AK26" s="13">
        <v>7506.2826629245119</v>
      </c>
      <c r="AL26" s="13">
        <v>14500.06097804264</v>
      </c>
      <c r="AM26" s="13">
        <v>13560.176261407343</v>
      </c>
      <c r="AN26" s="13">
        <v>31291.334542374672</v>
      </c>
      <c r="AO26" s="13">
        <v>3821.2078925628884</v>
      </c>
      <c r="AP26" s="13">
        <v>136884.88254319227</v>
      </c>
      <c r="AQ26" s="13">
        <v>8754.8523884019669</v>
      </c>
    </row>
    <row r="27" spans="1:43">
      <c r="A27" s="13">
        <v>2002</v>
      </c>
      <c r="B27" s="13">
        <v>1568501</v>
      </c>
      <c r="C27" s="13">
        <v>1534074.7654404005</v>
      </c>
      <c r="D27" s="13">
        <v>762888.41363401478</v>
      </c>
      <c r="E27" s="13">
        <v>658266.17202517216</v>
      </c>
      <c r="F27" s="13">
        <v>805612.58636598522</v>
      </c>
      <c r="G27" s="14">
        <v>875808.5934152283</v>
      </c>
      <c r="H27" s="13">
        <v>330043.02268566674</v>
      </c>
      <c r="I27" s="14">
        <v>114321.7919022892</v>
      </c>
      <c r="J27" s="13">
        <v>176668.42608759785</v>
      </c>
      <c r="K27" s="13">
        <v>4638.8300514504399</v>
      </c>
      <c r="L27" s="13">
        <v>16378.94565641947</v>
      </c>
      <c r="M27" s="13">
        <v>11348.491955780844</v>
      </c>
      <c r="N27" s="13">
        <v>21492.446881753651</v>
      </c>
      <c r="O27" s="13">
        <v>3745.7817219299054</v>
      </c>
      <c r="P27" s="13">
        <v>76981.059998322089</v>
      </c>
      <c r="Q27" s="14">
        <v>42082.869821941458</v>
      </c>
      <c r="R27" s="13">
        <v>163613.50006578042</v>
      </c>
      <c r="S27" s="13">
        <v>5104.4382258279738</v>
      </c>
      <c r="T27" s="13">
        <v>17830.270350598388</v>
      </c>
      <c r="U27" s="13">
        <v>11418.382591382266</v>
      </c>
      <c r="V27" s="13">
        <v>7599.0839320486102</v>
      </c>
      <c r="W27" s="13">
        <v>3690.7115368944114</v>
      </c>
      <c r="X27" s="13">
        <v>78102.456995652392</v>
      </c>
      <c r="Y27" s="14">
        <v>39868.156433376353</v>
      </c>
      <c r="Z27" s="13"/>
      <c r="AA27" s="14">
        <v>2002</v>
      </c>
      <c r="AB27" s="13">
        <v>1062479.0262065309</v>
      </c>
      <c r="AC27" s="13">
        <v>84256.30411183757</v>
      </c>
      <c r="AD27" s="13">
        <v>413153.725479769</v>
      </c>
      <c r="AE27" s="13">
        <v>58268.677143478424</v>
      </c>
      <c r="AF27" s="13">
        <v>25095.5212754073</v>
      </c>
      <c r="AG27" s="13">
        <v>18967.553382813629</v>
      </c>
      <c r="AH27" s="13">
        <v>387604.08594251296</v>
      </c>
      <c r="AI27" s="14">
        <v>75133.158870712126</v>
      </c>
      <c r="AJ27" s="13">
        <v>223940.26230662491</v>
      </c>
      <c r="AK27" s="13">
        <v>7042.4177393166519</v>
      </c>
      <c r="AL27" s="13">
        <v>13295.247282395125</v>
      </c>
      <c r="AM27" s="13">
        <v>12865.260805669017</v>
      </c>
      <c r="AN27" s="13">
        <v>31694.903674453875</v>
      </c>
      <c r="AO27" s="13">
        <v>3837.7110745229347</v>
      </c>
      <c r="AP27" s="13">
        <v>142545.1606083214</v>
      </c>
      <c r="AQ27" s="13">
        <v>12659.561121945899</v>
      </c>
    </row>
    <row r="28" spans="1:43">
      <c r="A28" s="13">
        <v>2003</v>
      </c>
      <c r="B28" s="13">
        <v>1560780</v>
      </c>
      <c r="C28" s="13">
        <v>1559989.8786070652</v>
      </c>
      <c r="D28" s="13">
        <v>777065.5947991492</v>
      </c>
      <c r="E28" s="13">
        <v>689854.32356441999</v>
      </c>
      <c r="F28" s="13">
        <v>783714.4052008508</v>
      </c>
      <c r="G28" s="14">
        <v>870135.5550426452</v>
      </c>
      <c r="H28" s="13">
        <v>313286.66590721579</v>
      </c>
      <c r="I28" s="14">
        <v>115928.7004251805</v>
      </c>
      <c r="J28" s="13">
        <v>163187.61106931686</v>
      </c>
      <c r="K28" s="13">
        <v>4021.5632411308493</v>
      </c>
      <c r="L28" s="13">
        <v>15042.367761368429</v>
      </c>
      <c r="M28" s="13">
        <v>11133.845024406277</v>
      </c>
      <c r="N28" s="13">
        <v>19846.866710732651</v>
      </c>
      <c r="O28" s="13">
        <v>2747.1411115471028</v>
      </c>
      <c r="P28" s="13">
        <v>78306.946294486494</v>
      </c>
      <c r="Q28" s="14">
        <v>32088.880925645066</v>
      </c>
      <c r="R28" s="13">
        <v>153961.33109904124</v>
      </c>
      <c r="S28" s="13">
        <v>4417.8185411008626</v>
      </c>
      <c r="T28" s="13">
        <v>16449.229012415431</v>
      </c>
      <c r="U28" s="13">
        <v>11328.084108926379</v>
      </c>
      <c r="V28" s="13">
        <v>8267.0042905554074</v>
      </c>
      <c r="W28" s="13">
        <v>2744.6233228190704</v>
      </c>
      <c r="X28" s="13">
        <v>79105.996766879209</v>
      </c>
      <c r="Y28" s="14">
        <v>31648.575056344893</v>
      </c>
      <c r="Z28" s="13"/>
      <c r="AA28" s="14">
        <v>2003</v>
      </c>
      <c r="AB28" s="13">
        <v>1093893.0389562564</v>
      </c>
      <c r="AC28" s="13">
        <v>81933.618323991424</v>
      </c>
      <c r="AD28" s="13">
        <v>420100.41880614974</v>
      </c>
      <c r="AE28" s="13">
        <v>57884.757146565637</v>
      </c>
      <c r="AF28" s="13">
        <v>27214.122853487919</v>
      </c>
      <c r="AG28" s="13">
        <v>18639.43305761689</v>
      </c>
      <c r="AH28" s="13">
        <v>405081.03304453264</v>
      </c>
      <c r="AI28" s="14">
        <v>83039.655723911987</v>
      </c>
      <c r="AJ28" s="13">
        <v>217890.20518525722</v>
      </c>
      <c r="AK28" s="13">
        <v>6231.5879505405137</v>
      </c>
      <c r="AL28" s="13">
        <v>10135.565319944768</v>
      </c>
      <c r="AM28" s="13">
        <v>12513.979855713209</v>
      </c>
      <c r="AN28" s="13">
        <v>28431.10601545588</v>
      </c>
      <c r="AO28" s="13">
        <v>3608.2767585936422</v>
      </c>
      <c r="AP28" s="13">
        <v>143470.6555649396</v>
      </c>
      <c r="AQ28" s="13">
        <v>13499.033720069592</v>
      </c>
    </row>
    <row r="29" spans="1:43">
      <c r="A29" s="13">
        <v>2004</v>
      </c>
      <c r="B29" s="13">
        <v>1596050</v>
      </c>
      <c r="C29" s="13">
        <v>1610129.7936750224</v>
      </c>
      <c r="D29" s="13">
        <v>806757.24615734804</v>
      </c>
      <c r="E29" s="13">
        <v>743026.71120019164</v>
      </c>
      <c r="F29" s="13">
        <v>789292.75384265196</v>
      </c>
      <c r="G29" s="14">
        <v>867103.08247483079</v>
      </c>
      <c r="H29" s="13">
        <v>309567.59830846247</v>
      </c>
      <c r="I29" s="14">
        <v>118254.84386334468</v>
      </c>
      <c r="J29" s="13">
        <v>215399.97991687045</v>
      </c>
      <c r="K29" s="13">
        <v>3936.6496475544232</v>
      </c>
      <c r="L29" s="13">
        <v>10136.372809335058</v>
      </c>
      <c r="M29" s="13">
        <v>11326.110878336725</v>
      </c>
      <c r="N29" s="13">
        <v>27578.124720575714</v>
      </c>
      <c r="O29" s="13">
        <v>4754.6079843701655</v>
      </c>
      <c r="P29" s="13">
        <v>80244.540536030341</v>
      </c>
      <c r="Q29" s="14">
        <v>77423.573340668023</v>
      </c>
      <c r="R29" s="13">
        <v>202663.31676506845</v>
      </c>
      <c r="S29" s="13">
        <v>4299.1419704013433</v>
      </c>
      <c r="T29" s="13">
        <v>11091.42713156816</v>
      </c>
      <c r="U29" s="13">
        <v>11538.838060456881</v>
      </c>
      <c r="V29" s="13">
        <v>13103.030628149856</v>
      </c>
      <c r="W29" s="13">
        <v>4785.4592360670595</v>
      </c>
      <c r="X29" s="13">
        <v>80959.573037682159</v>
      </c>
      <c r="Y29" s="14">
        <v>76885.846700742986</v>
      </c>
      <c r="Z29" s="13"/>
      <c r="AA29" s="14">
        <v>2004</v>
      </c>
      <c r="AB29" s="13">
        <v>1168369.056719129</v>
      </c>
      <c r="AC29" s="13">
        <v>79678.070828473457</v>
      </c>
      <c r="AD29" s="13">
        <v>421529.53630517644</v>
      </c>
      <c r="AE29" s="13">
        <v>57788.759020562822</v>
      </c>
      <c r="AF29" s="13">
        <v>33649.693382533238</v>
      </c>
      <c r="AG29" s="13">
        <v>20405.304138350013</v>
      </c>
      <c r="AH29" s="13">
        <v>421632.72182813409</v>
      </c>
      <c r="AI29" s="14">
        <v>133684.97121589878</v>
      </c>
      <c r="AJ29" s="13">
        <v>226529.43435812133</v>
      </c>
      <c r="AK29" s="13">
        <v>5624.8492648612882</v>
      </c>
      <c r="AL29" s="13">
        <v>7333.5895340763236</v>
      </c>
      <c r="AM29" s="13">
        <v>12347.125967872602</v>
      </c>
      <c r="AN29" s="13">
        <v>30605.259396330308</v>
      </c>
      <c r="AO29" s="13">
        <v>3822.4607537102411</v>
      </c>
      <c r="AP29" s="13">
        <v>145142.54172869452</v>
      </c>
      <c r="AQ29" s="13">
        <v>21653.607712576038</v>
      </c>
    </row>
    <row r="30" spans="1:43">
      <c r="A30" s="13">
        <v>2005</v>
      </c>
      <c r="B30" s="13">
        <v>1632034</v>
      </c>
      <c r="C30" s="13">
        <v>1633198.2854742932</v>
      </c>
      <c r="D30" s="13">
        <v>808064.34236205427</v>
      </c>
      <c r="E30" s="13">
        <v>753128.5548237341</v>
      </c>
      <c r="F30" s="13">
        <v>823969.65763794573</v>
      </c>
      <c r="G30" s="14">
        <v>880069.73065055907</v>
      </c>
      <c r="H30" s="13">
        <v>308834.42401961866</v>
      </c>
      <c r="I30" s="14">
        <v>116640.41559981085</v>
      </c>
      <c r="J30" s="13">
        <v>166790.03820635384</v>
      </c>
      <c r="K30" s="13">
        <v>4729.9552107226327</v>
      </c>
      <c r="L30" s="13">
        <v>13429.282195284792</v>
      </c>
      <c r="M30" s="13">
        <v>12130.800393949501</v>
      </c>
      <c r="N30" s="13">
        <v>19293.313747764081</v>
      </c>
      <c r="O30" s="13">
        <v>2249.0532232095265</v>
      </c>
      <c r="P30" s="13">
        <v>84614.471484070018</v>
      </c>
      <c r="Q30" s="14">
        <v>30343.161951353308</v>
      </c>
      <c r="R30" s="13">
        <v>159780.28191332862</v>
      </c>
      <c r="S30" s="13">
        <v>5086.3098564785669</v>
      </c>
      <c r="T30" s="13">
        <v>14570.12067844074</v>
      </c>
      <c r="U30" s="13">
        <v>12287.670229317511</v>
      </c>
      <c r="V30" s="13">
        <v>10356.598047325633</v>
      </c>
      <c r="W30" s="13">
        <v>2259.1026718251628</v>
      </c>
      <c r="X30" s="13">
        <v>85081.958665274331</v>
      </c>
      <c r="Y30" s="14">
        <v>30138.521764666701</v>
      </c>
      <c r="Z30" s="13"/>
      <c r="AA30" s="14">
        <v>2005</v>
      </c>
      <c r="AB30" s="13">
        <v>1179630.4852439966</v>
      </c>
      <c r="AC30" s="13">
        <v>78390.135018674147</v>
      </c>
      <c r="AD30" s="13">
        <v>426404.47764859808</v>
      </c>
      <c r="AE30" s="13">
        <v>58460.888686747203</v>
      </c>
      <c r="AF30" s="13">
        <v>35762.116551138228</v>
      </c>
      <c r="AG30" s="13">
        <v>19358.747539762473</v>
      </c>
      <c r="AH30" s="13">
        <v>439675.07772273506</v>
      </c>
      <c r="AI30" s="14">
        <v>121579.04207634146</v>
      </c>
      <c r="AJ30" s="13">
        <v>214837.27409605437</v>
      </c>
      <c r="AK30" s="13">
        <v>4986.7079979519267</v>
      </c>
      <c r="AL30" s="13">
        <v>2861.2915431168926</v>
      </c>
      <c r="AM30" s="13">
        <v>12163.487802141703</v>
      </c>
      <c r="AN30" s="13">
        <v>27603.457305444033</v>
      </c>
      <c r="AO30" s="13">
        <v>3496.8480741746712</v>
      </c>
      <c r="AP30" s="13">
        <v>144116.67266578894</v>
      </c>
      <c r="AQ30" s="13">
        <v>19608.808707436183</v>
      </c>
    </row>
    <row r="31" spans="1:43">
      <c r="A31" s="13">
        <v>2006</v>
      </c>
      <c r="B31" s="13">
        <v>1743156</v>
      </c>
      <c r="C31" s="13">
        <v>1730080.8282848448</v>
      </c>
      <c r="D31" s="13">
        <v>858864.70019339793</v>
      </c>
      <c r="E31" s="13">
        <v>818946.70677078585</v>
      </c>
      <c r="F31" s="13">
        <v>884291.29980660207</v>
      </c>
      <c r="G31" s="14">
        <v>911134.1215140589</v>
      </c>
      <c r="H31" s="13">
        <v>322680.64994927082</v>
      </c>
      <c r="I31" s="14">
        <v>121530.57893156861</v>
      </c>
      <c r="J31" s="13">
        <v>224497.20691027006</v>
      </c>
      <c r="K31" s="13">
        <v>6602.2381185472395</v>
      </c>
      <c r="L31" s="13">
        <v>19956.151022239108</v>
      </c>
      <c r="M31" s="13">
        <v>12827.360759438003</v>
      </c>
      <c r="N31" s="13">
        <v>24228.211038049962</v>
      </c>
      <c r="O31" s="13">
        <v>1957.758642246853</v>
      </c>
      <c r="P31" s="13">
        <v>94514.219526340967</v>
      </c>
      <c r="Q31" s="14">
        <v>64411.267803407944</v>
      </c>
      <c r="R31" s="13">
        <v>214615.00086102801</v>
      </c>
      <c r="S31" s="13">
        <v>6986.3753557640812</v>
      </c>
      <c r="T31" s="13">
        <v>21537.397088515827</v>
      </c>
      <c r="U31" s="13">
        <v>12969.978061172331</v>
      </c>
      <c r="V31" s="13">
        <v>14001.438139945823</v>
      </c>
      <c r="W31" s="13">
        <v>1957.9953572798063</v>
      </c>
      <c r="X31" s="13">
        <v>93918.007567606401</v>
      </c>
      <c r="Y31" s="14">
        <v>63243.809290743753</v>
      </c>
      <c r="Z31" s="13"/>
      <c r="AA31" s="14">
        <v>2006</v>
      </c>
      <c r="AB31" s="13">
        <v>1246191.1833810674</v>
      </c>
      <c r="AC31" s="13">
        <v>79105.299572944292</v>
      </c>
      <c r="AD31" s="13">
        <v>438134.57175119611</v>
      </c>
      <c r="AE31" s="13">
        <v>59680.228121883345</v>
      </c>
      <c r="AF31" s="13">
        <v>41001.836136055186</v>
      </c>
      <c r="AG31" s="13">
        <v>18180.625795600758</v>
      </c>
      <c r="AH31" s="13">
        <v>463684.74793242657</v>
      </c>
      <c r="AI31" s="14">
        <v>146403.87407096132</v>
      </c>
      <c r="AJ31" s="13">
        <v>239087.15937114033</v>
      </c>
      <c r="AK31" s="13">
        <v>5861.9002020116359</v>
      </c>
      <c r="AL31" s="13">
        <v>7666.7927255303493</v>
      </c>
      <c r="AM31" s="13">
        <v>12203.313343144933</v>
      </c>
      <c r="AN31" s="13">
        <v>28456.058580548881</v>
      </c>
      <c r="AO31" s="13">
        <v>3267.0022640828643</v>
      </c>
      <c r="AP31" s="13">
        <v>155769.77795469429</v>
      </c>
      <c r="AQ31" s="13">
        <v>25862.314301127368</v>
      </c>
    </row>
    <row r="32" spans="1:43">
      <c r="A32" s="13">
        <v>2007</v>
      </c>
      <c r="B32" s="13">
        <v>1738264</v>
      </c>
      <c r="C32" s="13">
        <v>1711954.0092981574</v>
      </c>
      <c r="D32" s="13">
        <v>870670.10851697298</v>
      </c>
      <c r="E32" s="13">
        <v>838346.00238738849</v>
      </c>
      <c r="F32" s="13">
        <v>867593.89148302702</v>
      </c>
      <c r="G32" s="14">
        <v>873608.00691076892</v>
      </c>
      <c r="H32" s="13">
        <v>339305.43464233138</v>
      </c>
      <c r="I32" s="14">
        <v>127215.71705809186</v>
      </c>
      <c r="J32" s="13">
        <v>244824.03720189875</v>
      </c>
      <c r="K32" s="13">
        <v>8620.008697203406</v>
      </c>
      <c r="L32" s="13">
        <v>30034.262950126449</v>
      </c>
      <c r="M32" s="13">
        <v>13859.91181580058</v>
      </c>
      <c r="N32" s="13">
        <v>31987.295439790636</v>
      </c>
      <c r="O32" s="13">
        <v>3172.9184781452386</v>
      </c>
      <c r="P32" s="13">
        <v>98225.731447092694</v>
      </c>
      <c r="Q32" s="14">
        <v>58923.908373739745</v>
      </c>
      <c r="R32" s="13">
        <v>232843.69058648261</v>
      </c>
      <c r="S32" s="13">
        <v>8990.1799067556931</v>
      </c>
      <c r="T32" s="13">
        <v>31911.502238934336</v>
      </c>
      <c r="U32" s="13">
        <v>14081.785332142432</v>
      </c>
      <c r="V32" s="13">
        <v>19719.766364315376</v>
      </c>
      <c r="W32" s="13">
        <v>3174.6027278321844</v>
      </c>
      <c r="X32" s="13">
        <v>97469.240540688988</v>
      </c>
      <c r="Y32" s="14">
        <v>57496.61347581361</v>
      </c>
      <c r="Z32" s="13"/>
      <c r="AA32" s="14">
        <v>2007</v>
      </c>
      <c r="AB32" s="13">
        <v>1317653.4186390382</v>
      </c>
      <c r="AC32" s="13">
        <v>81767.055513864441</v>
      </c>
      <c r="AD32" s="13">
        <v>459968.97883985291</v>
      </c>
      <c r="AE32" s="13">
        <v>61766.28760152722</v>
      </c>
      <c r="AF32" s="13">
        <v>50676.152647037045</v>
      </c>
      <c r="AG32" s="13">
        <v>18409.967144545619</v>
      </c>
      <c r="AH32" s="13">
        <v>487428.11355185969</v>
      </c>
      <c r="AI32" s="14">
        <v>157636.86334035115</v>
      </c>
      <c r="AJ32" s="13">
        <v>255904.29218838309</v>
      </c>
      <c r="AK32" s="13">
        <v>6514.7937255769548</v>
      </c>
      <c r="AL32" s="13">
        <v>10340.951831468115</v>
      </c>
      <c r="AM32" s="13">
        <v>12649.5597997039</v>
      </c>
      <c r="AN32" s="13">
        <v>30949.582484336559</v>
      </c>
      <c r="AO32" s="13">
        <v>3362.3565418946482</v>
      </c>
      <c r="AP32" s="13">
        <v>164712.93676042976</v>
      </c>
      <c r="AQ32" s="13">
        <v>27374.111044973175</v>
      </c>
    </row>
    <row r="33" spans="1:43">
      <c r="A33" s="13">
        <v>2008</v>
      </c>
      <c r="B33" s="13">
        <v>1746569</v>
      </c>
      <c r="C33" s="13">
        <v>1722610.171730519</v>
      </c>
      <c r="D33" s="13">
        <v>846362.73364069569</v>
      </c>
      <c r="E33" s="13">
        <v>848473.2339684359</v>
      </c>
      <c r="F33" s="13">
        <v>900206.26635930431</v>
      </c>
      <c r="G33" s="14">
        <v>874136.93776208314</v>
      </c>
      <c r="H33" s="13">
        <v>355427.20781860623</v>
      </c>
      <c r="I33" s="14">
        <v>131851.83066719054</v>
      </c>
      <c r="J33" s="13">
        <v>220181.52043232927</v>
      </c>
      <c r="K33" s="13">
        <v>7967.4855657324106</v>
      </c>
      <c r="L33" s="13">
        <v>25292.198614275658</v>
      </c>
      <c r="M33" s="13">
        <v>16755.310303027763</v>
      </c>
      <c r="N33" s="13">
        <v>25370.570099284159</v>
      </c>
      <c r="O33" s="13">
        <v>2853.4441138958837</v>
      </c>
      <c r="P33" s="13">
        <v>100493.01553674082</v>
      </c>
      <c r="Q33" s="14">
        <v>41449.496199372588</v>
      </c>
      <c r="R33" s="13">
        <v>208545.74547437573</v>
      </c>
      <c r="S33" s="13">
        <v>8038.518499453301</v>
      </c>
      <c r="T33" s="13">
        <v>25108.743937704825</v>
      </c>
      <c r="U33" s="13">
        <v>16905.688619398821</v>
      </c>
      <c r="V33" s="13">
        <v>17336.312086109978</v>
      </c>
      <c r="W33" s="13">
        <v>2847.7953767091312</v>
      </c>
      <c r="X33" s="13">
        <v>98330.554358023001</v>
      </c>
      <c r="Y33" s="14">
        <v>39978.13259697664</v>
      </c>
      <c r="Z33" s="13"/>
      <c r="AA33" s="14">
        <v>2008</v>
      </c>
      <c r="AB33" s="13">
        <v>1353951.0984048438</v>
      </c>
      <c r="AC33" s="13">
        <v>83264.209572208594</v>
      </c>
      <c r="AD33" s="13">
        <v>474498.43626424111</v>
      </c>
      <c r="AE33" s="13">
        <v>66256.952413019069</v>
      </c>
      <c r="AF33" s="13">
        <v>55596.80733462295</v>
      </c>
      <c r="AG33" s="13">
        <v>18275.347843838361</v>
      </c>
      <c r="AH33" s="13">
        <v>508257.59785513696</v>
      </c>
      <c r="AI33" s="14">
        <v>147801.7471217768</v>
      </c>
      <c r="AJ33" s="13">
        <v>267115.41591232864</v>
      </c>
      <c r="AK33" s="13">
        <v>6347.9114009810955</v>
      </c>
      <c r="AL33" s="13">
        <v>11752.521283033115</v>
      </c>
      <c r="AM33" s="13">
        <v>13776.990115235189</v>
      </c>
      <c r="AN33" s="13">
        <v>31625.253897715615</v>
      </c>
      <c r="AO33" s="13">
        <v>3404.7542024969057</v>
      </c>
      <c r="AP33" s="13">
        <v>174296.02409970533</v>
      </c>
      <c r="AQ33" s="13">
        <v>25911.96091316142</v>
      </c>
    </row>
    <row r="34" spans="1:43">
      <c r="A34" s="13">
        <v>2009</v>
      </c>
      <c r="B34" s="13">
        <v>1630101</v>
      </c>
      <c r="C34" s="13">
        <v>1650044.0052416215</v>
      </c>
      <c r="D34" s="13">
        <v>773703.7718690238</v>
      </c>
      <c r="E34" s="13">
        <v>759724.56257008982</v>
      </c>
      <c r="F34" s="13">
        <v>856397.2281309762</v>
      </c>
      <c r="G34" s="14">
        <v>890319.44267153169</v>
      </c>
      <c r="H34" s="13">
        <v>330683.50211281929</v>
      </c>
      <c r="I34" s="14">
        <v>119585.85039611798</v>
      </c>
      <c r="J34" s="13">
        <v>280296.99938448356</v>
      </c>
      <c r="K34" s="13">
        <v>14038.055838009881</v>
      </c>
      <c r="L34" s="13">
        <v>36938.774950591484</v>
      </c>
      <c r="M34" s="13">
        <v>14208.194791124415</v>
      </c>
      <c r="N34" s="13">
        <v>31854.288785480527</v>
      </c>
      <c r="O34" s="13">
        <v>3040.8947877246801</v>
      </c>
      <c r="P34" s="13">
        <v>97724.990097063448</v>
      </c>
      <c r="Q34" s="14">
        <v>82491.800134489138</v>
      </c>
      <c r="R34" s="13">
        <v>276038.2748792257</v>
      </c>
      <c r="S34" s="13">
        <v>14539.102601787536</v>
      </c>
      <c r="T34" s="13">
        <v>37476.68391710709</v>
      </c>
      <c r="U34" s="13">
        <v>14176.116082282741</v>
      </c>
      <c r="V34" s="13">
        <v>24930.351318623409</v>
      </c>
      <c r="W34" s="13">
        <v>3076.1830650427369</v>
      </c>
      <c r="X34" s="13">
        <v>100053.29972205394</v>
      </c>
      <c r="Y34" s="14">
        <v>81786.538172328277</v>
      </c>
      <c r="Z34" s="13"/>
      <c r="AA34" s="14">
        <v>2009</v>
      </c>
      <c r="AB34" s="13">
        <v>1454996.990752066</v>
      </c>
      <c r="AC34" s="13">
        <v>91142.175408219453</v>
      </c>
      <c r="AD34" s="13">
        <v>501061.6561472707</v>
      </c>
      <c r="AE34" s="13">
        <v>67115.421060284978</v>
      </c>
      <c r="AF34" s="13">
        <v>66905.94085626374</v>
      </c>
      <c r="AG34" s="13">
        <v>18390.924558179282</v>
      </c>
      <c r="AH34" s="13">
        <v>527497.9395182241</v>
      </c>
      <c r="AI34" s="14">
        <v>182882.9332036236</v>
      </c>
      <c r="AJ34" s="13">
        <v>286378.91445652646</v>
      </c>
      <c r="AK34" s="13">
        <v>7336.6469039744588</v>
      </c>
      <c r="AL34" s="13">
        <v>14021.123141937334</v>
      </c>
      <c r="AM34" s="13">
        <v>13835.453467253214</v>
      </c>
      <c r="AN34" s="13">
        <v>34944.513598309662</v>
      </c>
      <c r="AO34" s="13">
        <v>3353.4927898743917</v>
      </c>
      <c r="AP34" s="13">
        <v>181092.50999892002</v>
      </c>
      <c r="AQ34" s="13">
        <v>31795.17455625736</v>
      </c>
    </row>
    <row r="35" spans="1:43">
      <c r="A35" s="13">
        <v>2010</v>
      </c>
      <c r="B35" s="13">
        <v>1765450</v>
      </c>
      <c r="C35" s="13">
        <v>1815848.459773323</v>
      </c>
      <c r="D35" s="13">
        <v>795331.40142035729</v>
      </c>
      <c r="E35" s="13">
        <v>805584.13813850249</v>
      </c>
      <c r="F35" s="13">
        <v>970118.59857964271</v>
      </c>
      <c r="G35" s="14">
        <v>1010264.3216348205</v>
      </c>
      <c r="H35" s="13">
        <v>372067.14578168583</v>
      </c>
      <c r="I35" s="14">
        <v>138905.46332110572</v>
      </c>
      <c r="J35" s="13">
        <v>226930.58556888718</v>
      </c>
      <c r="K35" s="13">
        <v>12295.559073464437</v>
      </c>
      <c r="L35" s="13">
        <v>24671.301267230596</v>
      </c>
      <c r="M35" s="13">
        <v>14459.60232865121</v>
      </c>
      <c r="N35" s="13">
        <v>23803.00944646385</v>
      </c>
      <c r="O35" s="13">
        <v>2702.8097330329801</v>
      </c>
      <c r="P35" s="13">
        <v>87890.675046249104</v>
      </c>
      <c r="Q35" s="14">
        <v>61107.628673794992</v>
      </c>
      <c r="R35" s="13">
        <v>225668.49657875672</v>
      </c>
      <c r="S35" s="13">
        <v>12807.902086929173</v>
      </c>
      <c r="T35" s="13">
        <v>25619.261097592298</v>
      </c>
      <c r="U35" s="13">
        <v>14404.288252624374</v>
      </c>
      <c r="V35" s="13">
        <v>20248.705168082131</v>
      </c>
      <c r="W35" s="13">
        <v>2775.6420339129686</v>
      </c>
      <c r="X35" s="13">
        <v>88608.885905080111</v>
      </c>
      <c r="Y35" s="14">
        <v>61203.812034535644</v>
      </c>
      <c r="Z35" s="13"/>
      <c r="AA35" s="14">
        <v>2010</v>
      </c>
      <c r="AB35" s="13">
        <v>1487325.0310097081</v>
      </c>
      <c r="AC35" s="13">
        <v>96658.703462491074</v>
      </c>
      <c r="AD35" s="13">
        <v>515156.49915347574</v>
      </c>
      <c r="AE35" s="13">
        <v>68029.509679792071</v>
      </c>
      <c r="AF35" s="13">
        <v>70762.690514561255</v>
      </c>
      <c r="AG35" s="13">
        <v>18187.236813667205</v>
      </c>
      <c r="AH35" s="13">
        <v>532234.65303990652</v>
      </c>
      <c r="AI35" s="14">
        <v>186295.73834581417</v>
      </c>
      <c r="AJ35" s="13">
        <v>290950.58577795909</v>
      </c>
      <c r="AK35" s="13">
        <v>8177.2838766045379</v>
      </c>
      <c r="AL35" s="13">
        <v>18545.872117902742</v>
      </c>
      <c r="AM35" s="13">
        <v>13556.503257852994</v>
      </c>
      <c r="AN35" s="13">
        <v>31780.599831925549</v>
      </c>
      <c r="AO35" s="13">
        <v>3269.4821978937289</v>
      </c>
      <c r="AP35" s="13">
        <v>182919.87414351662</v>
      </c>
      <c r="AQ35" s="13">
        <v>32700.970352262942</v>
      </c>
    </row>
    <row r="36" spans="1:43">
      <c r="A36" s="13">
        <v>2011</v>
      </c>
      <c r="B36" s="13">
        <v>1860280</v>
      </c>
      <c r="C36" s="13">
        <v>1941537.6630255061</v>
      </c>
      <c r="D36" s="13">
        <v>800255.0516922801</v>
      </c>
      <c r="E36" s="13">
        <v>852847.14578700718</v>
      </c>
      <c r="F36" s="13">
        <v>1060024.94830772</v>
      </c>
      <c r="G36" s="14">
        <v>1088690.5172384989</v>
      </c>
      <c r="H36" s="13">
        <v>407858.98074667901</v>
      </c>
      <c r="I36" s="14">
        <v>140507.01652258227</v>
      </c>
      <c r="J36" s="13">
        <v>220239.06824294664</v>
      </c>
      <c r="K36" s="13">
        <v>10143.076166710522</v>
      </c>
      <c r="L36" s="13">
        <v>15843.004368695443</v>
      </c>
      <c r="M36" s="13">
        <v>12027.851942583209</v>
      </c>
      <c r="N36" s="13">
        <v>22884.495144839213</v>
      </c>
      <c r="O36" s="13">
        <v>2607.3649438191237</v>
      </c>
      <c r="P36" s="13">
        <v>97268.892842351808</v>
      </c>
      <c r="Q36" s="14">
        <v>59464.382833947326</v>
      </c>
      <c r="R36" s="13">
        <v>220923.99295034929</v>
      </c>
      <c r="S36" s="13">
        <v>10496.853408941213</v>
      </c>
      <c r="T36" s="13">
        <v>16408.992322472714</v>
      </c>
      <c r="U36" s="13">
        <v>12054.121822020988</v>
      </c>
      <c r="V36" s="13">
        <v>21518.560090155734</v>
      </c>
      <c r="W36" s="13">
        <v>2701.4815814972962</v>
      </c>
      <c r="X36" s="13">
        <v>97638.636345820472</v>
      </c>
      <c r="Y36" s="14">
        <v>60105.347379440886</v>
      </c>
      <c r="Z36" s="13"/>
      <c r="AA36" s="14">
        <v>2011</v>
      </c>
      <c r="AB36" s="13">
        <v>1511215.8420663858</v>
      </c>
      <c r="AC36" s="13">
        <v>99422.860594433005</v>
      </c>
      <c r="AD36" s="13">
        <v>519716.89199541853</v>
      </c>
      <c r="AE36" s="13">
        <v>66409.700056174843</v>
      </c>
      <c r="AF36" s="13">
        <v>74944.391428649484</v>
      </c>
      <c r="AG36" s="13">
        <v>17942.386031350412</v>
      </c>
      <c r="AH36" s="13">
        <v>545247.97955238179</v>
      </c>
      <c r="AI36" s="14">
        <v>187531.63240797777</v>
      </c>
      <c r="AJ36" s="13">
        <v>267841.40358260536</v>
      </c>
      <c r="AK36" s="13">
        <v>7005.4017081816492</v>
      </c>
      <c r="AL36" s="13">
        <v>10128.466515714166</v>
      </c>
      <c r="AM36" s="13">
        <v>13033.571818857483</v>
      </c>
      <c r="AN36" s="13">
        <v>27524.985495234359</v>
      </c>
      <c r="AO36" s="13">
        <v>3094.3873261702884</v>
      </c>
      <c r="AP36" s="13">
        <v>177529.28298206619</v>
      </c>
      <c r="AQ36" s="13">
        <v>29525.307736381212</v>
      </c>
    </row>
    <row r="37" spans="1:43">
      <c r="A37" s="13">
        <v>2012</v>
      </c>
      <c r="B37" s="13">
        <v>1946545</v>
      </c>
      <c r="C37" s="13">
        <v>2050330.9343373692</v>
      </c>
      <c r="D37" s="13">
        <v>857925.15215222025</v>
      </c>
      <c r="E37" s="13">
        <v>906209.70969056257</v>
      </c>
      <c r="F37" s="13">
        <v>1088619.8478477797</v>
      </c>
      <c r="G37" s="14">
        <v>1144121.2246468067</v>
      </c>
      <c r="H37" s="13">
        <v>424188.88835265901</v>
      </c>
      <c r="I37" s="14">
        <v>156611.48361735928</v>
      </c>
      <c r="J37" s="13">
        <v>278839.47574744723</v>
      </c>
      <c r="K37" s="13">
        <v>8348.2607836437037</v>
      </c>
      <c r="L37" s="13">
        <v>22041.065088533134</v>
      </c>
      <c r="M37" s="13">
        <v>15024.638680130489</v>
      </c>
      <c r="N37" s="13">
        <v>35783.062577237593</v>
      </c>
      <c r="O37" s="13">
        <v>3338.2845609201604</v>
      </c>
      <c r="P37" s="13">
        <v>102989.12622230075</v>
      </c>
      <c r="Q37" s="14">
        <v>91315.037834681425</v>
      </c>
      <c r="R37" s="13">
        <v>282201.43372100056</v>
      </c>
      <c r="S37" s="13">
        <v>8657.2228876676527</v>
      </c>
      <c r="T37" s="13">
        <v>22757.462822653557</v>
      </c>
      <c r="U37" s="13">
        <v>15067.102023659982</v>
      </c>
      <c r="V37" s="13">
        <v>36110.102121399279</v>
      </c>
      <c r="W37" s="13">
        <v>3432.25066943518</v>
      </c>
      <c r="X37" s="13">
        <v>103402.28209952553</v>
      </c>
      <c r="Y37" s="14">
        <v>92775.011096659422</v>
      </c>
      <c r="Z37" s="13"/>
      <c r="AA37" s="14">
        <v>2012</v>
      </c>
      <c r="AB37" s="13">
        <v>1592939.1416857983</v>
      </c>
      <c r="AC37" s="13">
        <v>100126.25463454601</v>
      </c>
      <c r="AD37" s="13">
        <v>530520.86630217743</v>
      </c>
      <c r="AE37" s="13">
        <v>68128.452368543672</v>
      </c>
      <c r="AF37" s="13">
        <v>92693.117650029642</v>
      </c>
      <c r="AG37" s="13">
        <v>18467.970163706825</v>
      </c>
      <c r="AH37" s="13">
        <v>561955.83290307864</v>
      </c>
      <c r="AI37" s="14">
        <v>221046.64766371623</v>
      </c>
      <c r="AJ37" s="13">
        <v>274098.37467974832</v>
      </c>
      <c r="AK37" s="13">
        <v>6631.521012608705</v>
      </c>
      <c r="AL37" s="13">
        <v>7731.3594584707052</v>
      </c>
      <c r="AM37" s="13">
        <v>13108.1776978746</v>
      </c>
      <c r="AN37" s="13">
        <v>28991.775134200845</v>
      </c>
      <c r="AO37" s="13">
        <v>3046.4526932723434</v>
      </c>
      <c r="AP37" s="13">
        <v>179022.18205549684</v>
      </c>
      <c r="AQ37" s="13">
        <v>35566.906627824268</v>
      </c>
    </row>
    <row r="38" spans="1:43">
      <c r="A38" s="13">
        <v>2013</v>
      </c>
      <c r="B38" s="13">
        <v>1958211</v>
      </c>
      <c r="C38" s="13">
        <v>2028776.3682828182</v>
      </c>
      <c r="D38" s="13">
        <v>858937.30320723855</v>
      </c>
      <c r="E38" s="13">
        <v>895009.4496812172</v>
      </c>
      <c r="F38" s="13">
        <v>1099273.6967927613</v>
      </c>
      <c r="G38" s="14">
        <v>1133766.9186016009</v>
      </c>
      <c r="H38" s="13">
        <v>430925.28404951905</v>
      </c>
      <c r="I38" s="14">
        <v>151997.84192026002</v>
      </c>
      <c r="J38" s="13">
        <v>288770.23312797979</v>
      </c>
      <c r="K38" s="13">
        <v>10937.052361646898</v>
      </c>
      <c r="L38" s="13">
        <v>23609.439337069241</v>
      </c>
      <c r="M38" s="13">
        <v>16592.276749419165</v>
      </c>
      <c r="N38" s="13">
        <v>31760.182460326629</v>
      </c>
      <c r="O38" s="13">
        <v>3003.225520933574</v>
      </c>
      <c r="P38" s="13">
        <v>107393.69706458223</v>
      </c>
      <c r="Q38" s="14">
        <v>95474.359634002089</v>
      </c>
      <c r="R38" s="13">
        <v>293618.4164982303</v>
      </c>
      <c r="S38" s="13">
        <v>11209.785494979507</v>
      </c>
      <c r="T38" s="13">
        <v>24303.061127673751</v>
      </c>
      <c r="U38" s="13">
        <v>16637.255812896507</v>
      </c>
      <c r="V38" s="13">
        <v>32895.432438503231</v>
      </c>
      <c r="W38" s="13">
        <v>3059.4404162072551</v>
      </c>
      <c r="X38" s="13">
        <v>108047.11449439952</v>
      </c>
      <c r="Y38" s="14">
        <v>97466.32671357051</v>
      </c>
      <c r="Z38" s="13"/>
      <c r="AA38" s="14">
        <v>2013</v>
      </c>
      <c r="AB38" s="13">
        <v>1667748.3158781361</v>
      </c>
      <c r="AC38" s="13">
        <v>103325.93975876184</v>
      </c>
      <c r="AD38" s="13">
        <v>542621.94750490109</v>
      </c>
      <c r="AE38" s="13">
        <v>71071.889255362898</v>
      </c>
      <c r="AF38" s="13">
        <v>102878.73626427562</v>
      </c>
      <c r="AG38" s="13">
        <v>18535.599413393575</v>
      </c>
      <c r="AH38" s="13">
        <v>580651.96996588865</v>
      </c>
      <c r="AI38" s="14">
        <v>248662.2337155524</v>
      </c>
      <c r="AJ38" s="13">
        <v>283983.73789987114</v>
      </c>
      <c r="AK38" s="13">
        <v>7704.6933888164522</v>
      </c>
      <c r="AL38" s="13">
        <v>9354.1905004547025</v>
      </c>
      <c r="AM38" s="13">
        <v>13746.92055210547</v>
      </c>
      <c r="AN38" s="13">
        <v>29296.268995576294</v>
      </c>
      <c r="AO38" s="13">
        <v>3020.0072379115668</v>
      </c>
      <c r="AP38" s="13">
        <v>180094.81669242319</v>
      </c>
      <c r="AQ38" s="13">
        <v>40766.840532583432</v>
      </c>
    </row>
    <row r="39" spans="1:43">
      <c r="A39" s="13">
        <v>2014</v>
      </c>
      <c r="B39" s="13">
        <v>2044064</v>
      </c>
      <c r="C39" s="13">
        <v>2067909.9338447799</v>
      </c>
      <c r="D39" s="13">
        <v>970585.67835712095</v>
      </c>
      <c r="E39" s="13">
        <v>999551.46513946739</v>
      </c>
      <c r="F39" s="13">
        <v>1073478.3216428789</v>
      </c>
      <c r="G39" s="14">
        <v>1068358.4687053123</v>
      </c>
      <c r="H39" s="13">
        <v>442399.91849731567</v>
      </c>
      <c r="I39" s="14">
        <v>152712.3626446877</v>
      </c>
      <c r="J39" s="13">
        <v>295793.66007513856</v>
      </c>
      <c r="K39" s="13">
        <v>11347.045139041613</v>
      </c>
      <c r="L39" s="13">
        <v>23090.75221349256</v>
      </c>
      <c r="M39" s="13">
        <v>16760.97418122548</v>
      </c>
      <c r="N39" s="13">
        <v>30490.893401179721</v>
      </c>
      <c r="O39" s="13">
        <v>2567.0988405827247</v>
      </c>
      <c r="P39" s="13">
        <v>124725.86145276326</v>
      </c>
      <c r="Q39" s="14">
        <v>86811.034846853232</v>
      </c>
      <c r="R39" s="13">
        <v>297400.63716281508</v>
      </c>
      <c r="S39" s="13">
        <v>11413.576185991711</v>
      </c>
      <c r="T39" s="13">
        <v>23455.55542916885</v>
      </c>
      <c r="U39" s="13">
        <v>16768.207052707596</v>
      </c>
      <c r="V39" s="13">
        <v>31411.615603602982</v>
      </c>
      <c r="W39" s="13">
        <v>2586.585343397116</v>
      </c>
      <c r="X39" s="13">
        <v>124506.25853971709</v>
      </c>
      <c r="Y39" s="14">
        <v>87258.839008229756</v>
      </c>
      <c r="Z39" s="13"/>
      <c r="AA39" s="14">
        <v>2014</v>
      </c>
      <c r="AB39" s="13">
        <v>1731008.1367589012</v>
      </c>
      <c r="AC39" s="13">
        <v>106473.44076405262</v>
      </c>
      <c r="AD39" s="13">
        <v>553597.19814145716</v>
      </c>
      <c r="AE39" s="13">
        <v>73554.646567742544</v>
      </c>
      <c r="AF39" s="13">
        <v>109085.06148313108</v>
      </c>
      <c r="AG39" s="13">
        <v>18119.417651820931</v>
      </c>
      <c r="AH39" s="13">
        <v>612834.56528102944</v>
      </c>
      <c r="AI39" s="14">
        <v>257343.80686966758</v>
      </c>
      <c r="AJ39" s="13">
        <v>287066.27162096638</v>
      </c>
      <c r="AK39" s="13">
        <v>7297.4826574878334</v>
      </c>
      <c r="AL39" s="13">
        <v>6190.7216752209442</v>
      </c>
      <c r="AM39" s="13">
        <v>14216.556395365174</v>
      </c>
      <c r="AN39" s="13">
        <v>27815.896780305127</v>
      </c>
      <c r="AO39" s="13">
        <v>2945.1489245024127</v>
      </c>
      <c r="AP39" s="13">
        <v>187654.44840385675</v>
      </c>
      <c r="AQ39" s="13">
        <v>40946.016784228181</v>
      </c>
    </row>
    <row r="40" spans="1:43">
      <c r="A40" s="13">
        <v>2015</v>
      </c>
      <c r="B40" s="13">
        <v>2002389</v>
      </c>
      <c r="C40" s="13">
        <v>2002388.9999999998</v>
      </c>
      <c r="D40" s="13">
        <v>940892.54361019738</v>
      </c>
      <c r="E40" s="13">
        <v>940892.54361019738</v>
      </c>
      <c r="F40" s="13">
        <v>1061496.4563898025</v>
      </c>
      <c r="G40" s="14">
        <v>1061496.4563898025</v>
      </c>
      <c r="H40" s="13">
        <v>401238.80166685599</v>
      </c>
      <c r="I40" s="14">
        <v>146939.37016110483</v>
      </c>
      <c r="J40" s="13">
        <v>287828.1978776271</v>
      </c>
      <c r="K40" s="13">
        <v>10766.710172835808</v>
      </c>
      <c r="L40" s="13">
        <v>17337.32528762686</v>
      </c>
      <c r="M40" s="13">
        <v>13958.880113983538</v>
      </c>
      <c r="N40" s="13">
        <v>32407.516970383756</v>
      </c>
      <c r="O40" s="13">
        <v>2576.8997321456222</v>
      </c>
      <c r="P40" s="13">
        <v>115463.5846271035</v>
      </c>
      <c r="Q40" s="14">
        <v>95317.28097354804</v>
      </c>
      <c r="R40" s="13">
        <v>287828.1978776271</v>
      </c>
      <c r="S40" s="13">
        <v>10766.710172835808</v>
      </c>
      <c r="T40" s="13">
        <v>17337.32528762686</v>
      </c>
      <c r="U40" s="13">
        <v>13958.880113983538</v>
      </c>
      <c r="V40" s="13">
        <v>32407.516970383756</v>
      </c>
      <c r="W40" s="13">
        <v>2576.8997321456222</v>
      </c>
      <c r="X40" s="13">
        <v>115463.5846271035</v>
      </c>
      <c r="Y40" s="14">
        <v>95317.28097354804</v>
      </c>
      <c r="Z40" s="13"/>
      <c r="AA40" s="14">
        <v>2015</v>
      </c>
      <c r="AB40" s="13">
        <v>1774378.7152845738</v>
      </c>
      <c r="AC40" s="13">
        <v>108722.27567576422</v>
      </c>
      <c r="AD40" s="13">
        <v>558201.78787183051</v>
      </c>
      <c r="AE40" s="13">
        <v>72729.042721609832</v>
      </c>
      <c r="AF40" s="13">
        <v>114766.73839014773</v>
      </c>
      <c r="AG40" s="13">
        <v>17760.97172437156</v>
      </c>
      <c r="AH40" s="13">
        <v>630857.45402844925</v>
      </c>
      <c r="AI40" s="14">
        <v>271340.44487240061</v>
      </c>
      <c r="AJ40" s="13">
        <v>289906.41529447783</v>
      </c>
      <c r="AK40" s="13">
        <v>7313.3596350125026</v>
      </c>
      <c r="AL40" s="13">
        <v>4487.0543810504951</v>
      </c>
      <c r="AM40" s="13">
        <v>14535.386493291693</v>
      </c>
      <c r="AN40" s="13">
        <v>28262.415501551091</v>
      </c>
      <c r="AO40" s="13">
        <v>2880.7129837155544</v>
      </c>
      <c r="AP40" s="13">
        <v>190672.5061598949</v>
      </c>
      <c r="AQ40" s="13">
        <v>41754.980139961619</v>
      </c>
    </row>
    <row r="41" spans="1:43">
      <c r="A41" s="13">
        <v>2016</v>
      </c>
      <c r="B41" s="13">
        <v>1974017</v>
      </c>
      <c r="C41" s="13">
        <v>2017343.330343572</v>
      </c>
      <c r="D41" s="13">
        <v>890956.05266215163</v>
      </c>
      <c r="E41" s="13">
        <v>885718.67507506418</v>
      </c>
      <c r="F41" s="13">
        <v>1083060.9473378484</v>
      </c>
      <c r="G41" s="14">
        <v>1131624.6552685078</v>
      </c>
      <c r="H41" s="13">
        <v>401727.50226009835</v>
      </c>
      <c r="I41" s="14">
        <v>145526.01929721003</v>
      </c>
      <c r="J41" s="13">
        <v>316050.52853687154</v>
      </c>
      <c r="K41" s="13">
        <v>12517.251745038931</v>
      </c>
      <c r="L41" s="13">
        <v>27894.817313903193</v>
      </c>
      <c r="M41" s="13">
        <v>16252.538446002933</v>
      </c>
      <c r="N41" s="13">
        <v>34529.63437995992</v>
      </c>
      <c r="O41" s="13">
        <v>2464.36414233612</v>
      </c>
      <c r="P41" s="13">
        <v>107396.2775264432</v>
      </c>
      <c r="Q41" s="14">
        <v>114995.64498318729</v>
      </c>
      <c r="R41" s="13">
        <v>317604.90766091493</v>
      </c>
      <c r="S41" s="13">
        <v>12612.269954311387</v>
      </c>
      <c r="T41" s="13">
        <v>28123.146844730207</v>
      </c>
      <c r="U41" s="13">
        <v>16315.957361542496</v>
      </c>
      <c r="V41" s="13">
        <v>36569.652049497643</v>
      </c>
      <c r="W41" s="13">
        <v>2486.6737649381262</v>
      </c>
      <c r="X41" s="13">
        <v>108357.08883703614</v>
      </c>
      <c r="Y41" s="14">
        <v>113140.1188488589</v>
      </c>
      <c r="Z41" s="13"/>
      <c r="AA41" s="14">
        <v>2016</v>
      </c>
      <c r="AB41" s="13">
        <v>1838783.6180881953</v>
      </c>
      <c r="AC41" s="13">
        <v>112636.76357601448</v>
      </c>
      <c r="AD41" s="13">
        <v>573486.29359550867</v>
      </c>
      <c r="AE41" s="13">
        <v>74426.462496108754</v>
      </c>
      <c r="AF41" s="13">
        <v>123218.53953405918</v>
      </c>
      <c r="AG41" s="13">
        <v>17370.368069961492</v>
      </c>
      <c r="AH41" s="13">
        <v>638908.207674962</v>
      </c>
      <c r="AI41" s="14">
        <v>298736.98314158089</v>
      </c>
      <c r="AJ41" s="13">
        <v>305523.42767967458</v>
      </c>
      <c r="AK41" s="13">
        <v>7736.5635492564606</v>
      </c>
      <c r="AL41" s="13">
        <v>5749.3717289054521</v>
      </c>
      <c r="AM41" s="13">
        <v>15093.840188904624</v>
      </c>
      <c r="AN41" s="13">
        <v>30909.456955099111</v>
      </c>
      <c r="AO41" s="13">
        <v>2826.7594464552844</v>
      </c>
      <c r="AP41" s="13">
        <v>196476.84301710009</v>
      </c>
      <c r="AQ41" s="13">
        <v>46730.592793953518</v>
      </c>
    </row>
    <row r="42" spans="1:43">
      <c r="A42" s="13">
        <v>2017</v>
      </c>
      <c r="B42" s="13">
        <v>2044938</v>
      </c>
      <c r="C42" s="13">
        <v>2086077.4642647707</v>
      </c>
      <c r="D42" s="13">
        <v>998468.76724717196</v>
      </c>
      <c r="E42" s="13">
        <v>1029962.2752210995</v>
      </c>
      <c r="F42" s="13">
        <v>1046469.232752828</v>
      </c>
      <c r="G42" s="14">
        <v>1056115.1890436714</v>
      </c>
      <c r="H42" s="13">
        <v>423915.73178099317</v>
      </c>
      <c r="I42" s="14">
        <v>150990.88252120808</v>
      </c>
      <c r="J42" s="13">
        <v>401181.75237016747</v>
      </c>
      <c r="K42" s="13">
        <v>17120.087138600298</v>
      </c>
      <c r="L42" s="13">
        <v>40332.062357847506</v>
      </c>
      <c r="M42" s="13">
        <v>19690.732993486097</v>
      </c>
      <c r="N42" s="13">
        <v>46991.852609455855</v>
      </c>
      <c r="O42" s="13">
        <v>2934.4010729887582</v>
      </c>
      <c r="P42" s="13">
        <v>119204.19737705574</v>
      </c>
      <c r="Q42" s="14">
        <v>154908.41882073323</v>
      </c>
      <c r="R42" s="13">
        <v>400029.95051167964</v>
      </c>
      <c r="S42" s="13">
        <v>16998.473320704652</v>
      </c>
      <c r="T42" s="13">
        <v>40412.192283061777</v>
      </c>
      <c r="U42" s="13">
        <v>19782.865354776128</v>
      </c>
      <c r="V42" s="13">
        <v>49623.464158781499</v>
      </c>
      <c r="W42" s="13">
        <v>2962.0568125791501</v>
      </c>
      <c r="X42" s="13">
        <v>119076.98781101582</v>
      </c>
      <c r="Y42" s="14">
        <v>151173.91077076065</v>
      </c>
      <c r="Z42" s="13"/>
      <c r="AA42" s="14">
        <v>2017</v>
      </c>
      <c r="AB42" s="13">
        <v>1972662.8902931428</v>
      </c>
      <c r="AC42" s="13">
        <v>120624.29581063798</v>
      </c>
      <c r="AD42" s="13">
        <v>600708.30112587381</v>
      </c>
      <c r="AE42" s="13">
        <v>79249.608889167022</v>
      </c>
      <c r="AF42" s="13">
        <v>142653.46150699619</v>
      </c>
      <c r="AG42" s="13">
        <v>17518.425255206879</v>
      </c>
      <c r="AH42" s="13">
        <v>656398.79046565888</v>
      </c>
      <c r="AI42" s="14">
        <v>355510.00723960192</v>
      </c>
      <c r="AJ42" s="13">
        <v>328098.93811791658</v>
      </c>
      <c r="AK42" s="13">
        <v>8385.7533040175476</v>
      </c>
      <c r="AL42" s="13">
        <v>5860.6598102722</v>
      </c>
      <c r="AM42" s="13">
        <v>16102.106993749429</v>
      </c>
      <c r="AN42" s="13">
        <v>37227.275121926701</v>
      </c>
      <c r="AO42" s="13">
        <v>2877.51462323236</v>
      </c>
      <c r="AP42" s="13">
        <v>201686.39631959022</v>
      </c>
      <c r="AQ42" s="13">
        <v>55959.231945128115</v>
      </c>
    </row>
    <row r="43" spans="1:43">
      <c r="A43" s="13">
        <v>2018</v>
      </c>
      <c r="B43" s="13">
        <v>2012530</v>
      </c>
      <c r="C43" s="13">
        <v>2035538.2512430274</v>
      </c>
      <c r="D43" s="13">
        <v>997014.43567015801</v>
      </c>
      <c r="E43" s="13">
        <v>1041050.9543715152</v>
      </c>
      <c r="F43" s="13">
        <v>1015515.564329842</v>
      </c>
      <c r="G43" s="14">
        <v>994487.2968715122</v>
      </c>
      <c r="H43" s="13">
        <v>393566.70882747596</v>
      </c>
      <c r="I43" s="14">
        <v>138979.91221120403</v>
      </c>
      <c r="J43" s="13">
        <v>334320.561376945</v>
      </c>
      <c r="K43" s="13">
        <v>10195.119042903025</v>
      </c>
      <c r="L43" s="13">
        <v>24076.363934341163</v>
      </c>
      <c r="M43" s="13">
        <v>17763.317399720268</v>
      </c>
      <c r="N43" s="13">
        <v>41991.017742716933</v>
      </c>
      <c r="O43" s="13">
        <v>2809.1396417385904</v>
      </c>
      <c r="P43" s="13">
        <v>122041.79699939184</v>
      </c>
      <c r="Q43" s="14">
        <v>115443.80661613322</v>
      </c>
      <c r="R43" s="13">
        <v>330389.44396181189</v>
      </c>
      <c r="S43" s="13">
        <v>9954.0817395705308</v>
      </c>
      <c r="T43" s="13">
        <v>23863.340971831971</v>
      </c>
      <c r="U43" s="13">
        <v>17902.67713827407</v>
      </c>
      <c r="V43" s="13">
        <v>44677.517906042682</v>
      </c>
      <c r="W43" s="13">
        <v>2821.9387813223666</v>
      </c>
      <c r="X43" s="13">
        <v>120198.66681205091</v>
      </c>
      <c r="Y43" s="14">
        <v>110971.22061271938</v>
      </c>
      <c r="Z43" s="13"/>
      <c r="AA43" s="14">
        <v>2018</v>
      </c>
      <c r="AB43" s="13">
        <v>2009160.2753451744</v>
      </c>
      <c r="AC43" s="13">
        <v>120928.43388535749</v>
      </c>
      <c r="AD43" s="13">
        <v>610755.35117181065</v>
      </c>
      <c r="AE43" s="13">
        <v>81223.114640718515</v>
      </c>
      <c r="AF43" s="13">
        <v>152380.88134382482</v>
      </c>
      <c r="AG43" s="13">
        <v>17502.379145185732</v>
      </c>
      <c r="AH43" s="13">
        <v>672230.04959367006</v>
      </c>
      <c r="AI43" s="14">
        <v>354140.0655646071</v>
      </c>
      <c r="AJ43" s="13">
        <v>325173.92794752098</v>
      </c>
      <c r="AK43" s="13">
        <v>7224.0650314134236</v>
      </c>
      <c r="AL43" s="13">
        <v>157.68275315407865</v>
      </c>
      <c r="AM43" s="13">
        <v>15934.042949835892</v>
      </c>
      <c r="AN43" s="13">
        <v>36164.751805715685</v>
      </c>
      <c r="AO43" s="13">
        <v>2781.5836400148</v>
      </c>
      <c r="AP43" s="13">
        <v>210851.07795213084</v>
      </c>
      <c r="AQ43" s="13">
        <v>52060.72381525625</v>
      </c>
    </row>
    <row r="44" spans="1:43">
      <c r="A44" s="13">
        <v>2019</v>
      </c>
      <c r="B44" s="13">
        <v>2494164</v>
      </c>
      <c r="C44" s="13">
        <v>2510984.5757973744</v>
      </c>
      <c r="D44" s="13">
        <v>1194132.0471189092</v>
      </c>
      <c r="E44" s="13">
        <v>1237250.8358378955</v>
      </c>
      <c r="F44" s="13">
        <v>1300031.9528810908</v>
      </c>
      <c r="G44" s="14">
        <v>1273733.7399594788</v>
      </c>
      <c r="H44" s="13">
        <v>522940.77160909813</v>
      </c>
      <c r="I44" s="14">
        <v>179141.90785418631</v>
      </c>
      <c r="J44" s="13">
        <v>437850.27404797124</v>
      </c>
      <c r="K44" s="13">
        <v>23784.93822623618</v>
      </c>
      <c r="L44" s="13">
        <v>48887.463314687346</v>
      </c>
      <c r="M44" s="13">
        <v>23003.928189847913</v>
      </c>
      <c r="N44" s="13">
        <v>50859.179915784167</v>
      </c>
      <c r="O44" s="13">
        <v>3772.9888272371727</v>
      </c>
      <c r="P44" s="13">
        <v>145281.80247099506</v>
      </c>
      <c r="Q44" s="14">
        <v>142259.97310318347</v>
      </c>
      <c r="R44" s="13">
        <v>431661.90369080182</v>
      </c>
      <c r="S44" s="13">
        <v>22850.609968383375</v>
      </c>
      <c r="T44" s="13">
        <v>48045.536632301948</v>
      </c>
      <c r="U44" s="13">
        <v>23154.335275724145</v>
      </c>
      <c r="V44" s="13">
        <v>55400.397688907608</v>
      </c>
      <c r="W44" s="13">
        <v>3752.8416411353146</v>
      </c>
      <c r="X44" s="13">
        <v>143051.92428539533</v>
      </c>
      <c r="Y44" s="14">
        <v>135406.25819895414</v>
      </c>
      <c r="Z44" s="13"/>
      <c r="AA44" s="14">
        <v>2019</v>
      </c>
      <c r="AB44" s="13">
        <v>2141813.1452508448</v>
      </c>
      <c r="AC44" s="13">
        <v>134104.76914291226</v>
      </c>
      <c r="AD44" s="13">
        <v>644753.51472716092</v>
      </c>
      <c r="AE44" s="13">
        <v>88051.603873658227</v>
      </c>
      <c r="AF44" s="13">
        <v>170447.96310349533</v>
      </c>
      <c r="AG44" s="13">
        <v>18419.835364800958</v>
      </c>
      <c r="AH44" s="13">
        <v>708397.39599367185</v>
      </c>
      <c r="AI44" s="14">
        <v>377638.06304514536</v>
      </c>
      <c r="AJ44" s="13">
        <v>347283.81026943139</v>
      </c>
      <c r="AK44" s="13">
        <v>7556.5370835103577</v>
      </c>
      <c r="AL44" s="13">
        <v>6.4475351472716094</v>
      </c>
      <c r="AM44" s="13">
        <v>17170.959191111371</v>
      </c>
      <c r="AN44" s="13">
        <v>39762.438175708841</v>
      </c>
      <c r="AO44" s="13">
        <v>2909.9468205176936</v>
      </c>
      <c r="AP44" s="13">
        <v>225390.88432355603</v>
      </c>
      <c r="AQ44" s="13">
        <v>54486.597139879828</v>
      </c>
    </row>
    <row r="45" spans="1:43">
      <c r="A45" s="13">
        <v>2020</v>
      </c>
      <c r="B45" s="13">
        <v>2403590</v>
      </c>
      <c r="C45" s="13">
        <v>2415482.5499392534</v>
      </c>
      <c r="D45" s="13">
        <v>1142311.8959429215</v>
      </c>
      <c r="E45" s="13">
        <v>1167803.2289297453</v>
      </c>
      <c r="F45" s="13">
        <v>1261278.1040570785</v>
      </c>
      <c r="G45" s="14">
        <v>1247679.3210095081</v>
      </c>
      <c r="H45" s="13">
        <v>518712.18597737275</v>
      </c>
      <c r="I45" s="14">
        <v>163630.05112133524</v>
      </c>
      <c r="J45" s="13">
        <v>416807.76958803437</v>
      </c>
      <c r="K45" s="13">
        <v>18266.66692745551</v>
      </c>
      <c r="L45" s="13">
        <v>34153.449018422456</v>
      </c>
      <c r="M45" s="13">
        <v>19034.611356261477</v>
      </c>
      <c r="N45" s="13">
        <v>40789.648979045618</v>
      </c>
      <c r="O45" s="13">
        <v>3679.1340425732324</v>
      </c>
      <c r="P45" s="13">
        <v>144067.74946679824</v>
      </c>
      <c r="Q45" s="14">
        <v>156816.50979747777</v>
      </c>
      <c r="R45" s="13">
        <v>410328.75567096449</v>
      </c>
      <c r="S45" s="13">
        <v>17569.783398299332</v>
      </c>
      <c r="T45" s="13">
        <v>33505.104127706581</v>
      </c>
      <c r="U45" s="13">
        <v>19159.219664529119</v>
      </c>
      <c r="V45" s="13">
        <v>45589.444639445224</v>
      </c>
      <c r="W45" s="13">
        <v>3674.2662219149788</v>
      </c>
      <c r="X45" s="13">
        <v>143431.4022237352</v>
      </c>
      <c r="Y45" s="14">
        <v>147399.53539533404</v>
      </c>
      <c r="Z45" s="13"/>
      <c r="AA45" s="14">
        <v>2020</v>
      </c>
      <c r="AB45" s="13">
        <v>2232173.2379983328</v>
      </c>
      <c r="AC45" s="13">
        <v>140946.17100977863</v>
      </c>
      <c r="AD45" s="13">
        <v>663429.28801614279</v>
      </c>
      <c r="AE45" s="13">
        <v>89512.451159582037</v>
      </c>
      <c r="AF45" s="13">
        <v>174277.65678258421</v>
      </c>
      <c r="AG45" s="13">
        <v>19110.088257618183</v>
      </c>
      <c r="AH45" s="13">
        <v>739193.61225441319</v>
      </c>
      <c r="AI45" s="14">
        <v>405703.97051821346</v>
      </c>
      <c r="AJ45" s="13">
        <v>365202.7106480017</v>
      </c>
      <c r="AK45" s="13">
        <v>7816.0525550417387</v>
      </c>
      <c r="AL45" s="13">
        <v>6.6342928801614285</v>
      </c>
      <c r="AM45" s="13">
        <v>17285.010193613933</v>
      </c>
      <c r="AN45" s="13">
        <v>40285.431168341711</v>
      </c>
      <c r="AO45" s="13">
        <v>3012.2288780253634</v>
      </c>
      <c r="AP45" s="13">
        <v>237745.48993944688</v>
      </c>
      <c r="AQ45" s="13">
        <v>59051.863620651944</v>
      </c>
    </row>
    <row r="46" spans="1:43">
      <c r="A46" s="15">
        <v>2021</v>
      </c>
      <c r="B46" s="15">
        <v>2604294</v>
      </c>
      <c r="C46" s="15">
        <v>2583526.3067376008</v>
      </c>
      <c r="D46" s="15">
        <v>1144903.0008673328</v>
      </c>
      <c r="E46" s="15">
        <v>1217735.5284325979</v>
      </c>
      <c r="F46" s="15">
        <v>1459390.9991326672</v>
      </c>
      <c r="G46" s="16">
        <v>1365790.778305003</v>
      </c>
      <c r="H46" s="15">
        <v>541496.54396659392</v>
      </c>
      <c r="I46" s="16">
        <v>174515.48693384099</v>
      </c>
      <c r="J46" s="15">
        <v>447211.74693570018</v>
      </c>
      <c r="K46" s="15">
        <v>15391.714018818444</v>
      </c>
      <c r="L46" s="15">
        <v>33642.939762092486</v>
      </c>
      <c r="M46" s="15">
        <v>23086.585695489248</v>
      </c>
      <c r="N46" s="15">
        <v>46323.950567305983</v>
      </c>
      <c r="O46" s="15">
        <v>3910.9049223971183</v>
      </c>
      <c r="P46" s="15">
        <v>137387.56531886742</v>
      </c>
      <c r="Q46" s="16">
        <v>187468.08665072947</v>
      </c>
      <c r="R46" s="15">
        <v>432406.47641492134</v>
      </c>
      <c r="S46" s="15">
        <v>14363.820899481252</v>
      </c>
      <c r="T46" s="15">
        <v>32100.961523667473</v>
      </c>
      <c r="U46" s="15">
        <v>23210.690015561482</v>
      </c>
      <c r="V46" s="15">
        <v>51094.460212773927</v>
      </c>
      <c r="W46" s="15">
        <v>3889.8047502302384</v>
      </c>
      <c r="X46" s="15">
        <v>132647.66500766177</v>
      </c>
      <c r="Y46" s="16">
        <v>175099.0740055452</v>
      </c>
      <c r="Z46" s="15"/>
      <c r="AA46" s="16">
        <v>2021</v>
      </c>
      <c r="AB46" s="15">
        <v>2328525.0451833499</v>
      </c>
      <c r="AC46" s="15">
        <v>144034.29822847759</v>
      </c>
      <c r="AD46" s="15">
        <v>680271.37591543898</v>
      </c>
      <c r="AE46" s="15">
        <v>94731.138492067534</v>
      </c>
      <c r="AF46" s="15">
        <v>182674.09108362501</v>
      </c>
      <c r="AG46" s="15">
        <v>19904.058710114277</v>
      </c>
      <c r="AH46" s="15">
        <v>754309.49291362322</v>
      </c>
      <c r="AI46" s="16">
        <v>452600.58984000317</v>
      </c>
      <c r="AJ46" s="15">
        <v>377545.62399870489</v>
      </c>
      <c r="AK46" s="15">
        <v>7785.7466894672662</v>
      </c>
      <c r="AL46" s="15">
        <v>6.8027137591543907</v>
      </c>
      <c r="AM46" s="15">
        <v>18128.942172817369</v>
      </c>
      <c r="AN46" s="15">
        <v>40505.247162371983</v>
      </c>
      <c r="AO46" s="15">
        <v>3144.0877343687953</v>
      </c>
      <c r="AP46" s="15">
        <v>244200.76308128386</v>
      </c>
      <c r="AQ46" s="15">
        <v>63774.034444636491</v>
      </c>
    </row>
  </sheetData>
  <phoneticPr fontId="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EF551-1854-404C-AE60-4271482972B6}">
  <dimension ref="A1:D35"/>
  <sheetViews>
    <sheetView zoomScale="85" zoomScaleNormal="85" workbookViewId="0">
      <selection activeCell="X5" sqref="X5:Y46"/>
    </sheetView>
  </sheetViews>
  <sheetFormatPr defaultRowHeight="18"/>
  <cols>
    <col min="1" max="1" width="37" customWidth="1"/>
  </cols>
  <sheetData>
    <row r="1" spans="1:4">
      <c r="A1" s="3" t="s">
        <v>25</v>
      </c>
      <c r="B1" s="3"/>
      <c r="C1" s="3"/>
      <c r="D1" s="3"/>
    </row>
    <row r="2" spans="1:4">
      <c r="A2" s="3" t="s">
        <v>26</v>
      </c>
      <c r="B2" s="3"/>
      <c r="C2" s="3"/>
      <c r="D2" s="3"/>
    </row>
    <row r="3" spans="1:4">
      <c r="A3" s="1" t="s">
        <v>27</v>
      </c>
      <c r="B3" s="15">
        <v>2011</v>
      </c>
      <c r="C3" s="15">
        <v>2015</v>
      </c>
      <c r="D3" s="15">
        <v>2021</v>
      </c>
    </row>
    <row r="4" spans="1:4">
      <c r="A4" s="3" t="s">
        <v>28</v>
      </c>
      <c r="B4" s="13">
        <v>14881.10105638087</v>
      </c>
      <c r="C4" s="13">
        <v>13320.176395330236</v>
      </c>
      <c r="D4" s="13">
        <v>17367.046888749468</v>
      </c>
    </row>
    <row r="5" spans="1:4">
      <c r="A5" s="3" t="s">
        <v>29</v>
      </c>
      <c r="B5" s="13">
        <v>32514.616120631992</v>
      </c>
      <c r="C5" s="13">
        <v>39131.915753735826</v>
      </c>
      <c r="D5" s="13">
        <v>49384.327655631729</v>
      </c>
    </row>
    <row r="6" spans="1:4">
      <c r="A6" s="3" t="s">
        <v>30</v>
      </c>
      <c r="B6" s="13">
        <v>698811.57279496337</v>
      </c>
      <c r="C6" s="13">
        <v>669672.60435682954</v>
      </c>
      <c r="D6" s="13">
        <v>951210.9761546849</v>
      </c>
    </row>
    <row r="7" spans="1:4">
      <c r="A7" s="3" t="s">
        <v>31</v>
      </c>
      <c r="B7" s="13">
        <v>3691.7608146901848</v>
      </c>
      <c r="C7" s="13">
        <v>4765.9700614827216</v>
      </c>
      <c r="D7" s="13">
        <v>9305.6720331306169</v>
      </c>
    </row>
    <row r="8" spans="1:4">
      <c r="A8" s="3" t="s">
        <v>32</v>
      </c>
      <c r="B8" s="13">
        <v>52310.999709114469</v>
      </c>
      <c r="C8" s="13">
        <v>50975.167182012672</v>
      </c>
      <c r="D8" s="13">
        <v>67636.778937471478</v>
      </c>
    </row>
    <row r="9" spans="1:4">
      <c r="A9" s="3" t="s">
        <v>33</v>
      </c>
      <c r="B9" s="13">
        <v>77176.087543723261</v>
      </c>
      <c r="C9" s="13">
        <v>75553.090283665617</v>
      </c>
      <c r="D9" s="13">
        <v>88356.754321448883</v>
      </c>
    </row>
    <row r="10" spans="1:4">
      <c r="A10" s="3" t="s">
        <v>34</v>
      </c>
      <c r="B10" s="13">
        <v>88713.133500809112</v>
      </c>
      <c r="C10" s="13">
        <v>87867.857007952101</v>
      </c>
      <c r="D10" s="13">
        <v>109969.65436236317</v>
      </c>
    </row>
    <row r="11" spans="1:4">
      <c r="A11" s="3" t="s">
        <v>35</v>
      </c>
      <c r="B11" s="13">
        <v>21724.078310827543</v>
      </c>
      <c r="C11" s="13">
        <v>19898.705865336015</v>
      </c>
      <c r="D11" s="13">
        <v>21583.437450593585</v>
      </c>
    </row>
    <row r="12" spans="1:4">
      <c r="A12" s="3" t="s">
        <v>36</v>
      </c>
      <c r="B12" s="13">
        <v>39124.344998594141</v>
      </c>
      <c r="C12" s="13">
        <v>39580.148577311731</v>
      </c>
      <c r="D12" s="13">
        <v>45757.751063479584</v>
      </c>
    </row>
    <row r="13" spans="1:4">
      <c r="A13" s="3" t="s">
        <v>37</v>
      </c>
      <c r="B13" s="13">
        <v>103263.09478820108</v>
      </c>
      <c r="C13" s="13">
        <v>83485.229794008788</v>
      </c>
      <c r="D13" s="13">
        <v>145897.14840265334</v>
      </c>
    </row>
    <row r="14" spans="1:4">
      <c r="A14" s="3" t="s">
        <v>38</v>
      </c>
      <c r="B14" s="13">
        <v>29783.477529268479</v>
      </c>
      <c r="C14" s="13">
        <v>27343.713858580748</v>
      </c>
      <c r="D14" s="13">
        <v>39120.957552267282</v>
      </c>
    </row>
    <row r="15" spans="1:4">
      <c r="A15" s="3" t="s">
        <v>39</v>
      </c>
      <c r="B15" s="13">
        <v>36046.735016897372</v>
      </c>
      <c r="C15" s="13">
        <v>39631.478470033275</v>
      </c>
      <c r="D15" s="13">
        <v>55346.10426263063</v>
      </c>
    </row>
    <row r="16" spans="1:4">
      <c r="A16" s="3" t="s">
        <v>40</v>
      </c>
      <c r="B16" s="13">
        <v>63091.884205817194</v>
      </c>
      <c r="C16" s="13">
        <v>55781.676761927105</v>
      </c>
      <c r="D16" s="13">
        <v>98168.251561803336</v>
      </c>
    </row>
    <row r="17" spans="1:4">
      <c r="A17" s="3" t="s">
        <v>41</v>
      </c>
      <c r="B17" s="13">
        <v>50219.708587434747</v>
      </c>
      <c r="C17" s="13">
        <v>40698.876513550844</v>
      </c>
      <c r="D17" s="13">
        <v>75130.570773875719</v>
      </c>
    </row>
    <row r="18" spans="1:4">
      <c r="A18" s="3" t="s">
        <v>42</v>
      </c>
      <c r="B18" s="13">
        <v>464.97364611662772</v>
      </c>
      <c r="C18" s="13">
        <v>402.13961218064696</v>
      </c>
      <c r="D18" s="13">
        <v>738.42896531440124</v>
      </c>
    </row>
    <row r="19" spans="1:4">
      <c r="A19" s="3" t="s">
        <v>43</v>
      </c>
      <c r="B19" s="13">
        <v>9267.1591399768877</v>
      </c>
      <c r="C19" s="13">
        <v>11285.967895730453</v>
      </c>
      <c r="D19" s="13">
        <v>21074.404855288169</v>
      </c>
    </row>
    <row r="20" spans="1:4">
      <c r="A20" s="3" t="s">
        <v>44</v>
      </c>
      <c r="B20" s="13">
        <v>123934.13500349219</v>
      </c>
      <c r="C20" s="13">
        <v>132402.58247305694</v>
      </c>
      <c r="D20" s="13">
        <v>173125.06161236484</v>
      </c>
    </row>
    <row r="21" spans="1:4">
      <c r="A21" s="3" t="s">
        <v>45</v>
      </c>
      <c r="B21" s="13">
        <v>34807.018845990468</v>
      </c>
      <c r="C21" s="13">
        <v>52768.368852283485</v>
      </c>
      <c r="D21" s="13">
        <v>52071.103012721898</v>
      </c>
    </row>
    <row r="22" spans="1:4">
      <c r="A22" s="3"/>
      <c r="B22" s="13"/>
      <c r="C22" s="13"/>
      <c r="D22" s="13"/>
    </row>
    <row r="23" spans="1:4">
      <c r="A23" s="3" t="s">
        <v>46</v>
      </c>
      <c r="B23" s="13">
        <f>SUM(B24:B26)</f>
        <v>279010.63948975317</v>
      </c>
      <c r="C23" s="13">
        <f>SUM(C24:C26)</f>
        <v>286603.39103162324</v>
      </c>
      <c r="D23" s="13">
        <f>SUM(D24:D26)</f>
        <v>389357.54542087903</v>
      </c>
    </row>
    <row r="24" spans="1:4">
      <c r="A24" s="3" t="s">
        <v>47</v>
      </c>
      <c r="B24" s="13">
        <v>154153.62078636512</v>
      </c>
      <c r="C24" s="13">
        <v>156434.01896574584</v>
      </c>
      <c r="D24" s="13">
        <v>224832.68188654227</v>
      </c>
    </row>
    <row r="25" spans="1:4">
      <c r="A25" s="3" t="s">
        <v>48</v>
      </c>
      <c r="B25" s="13">
        <v>14117.551733812787</v>
      </c>
      <c r="C25" s="13">
        <v>21985.201576333373</v>
      </c>
      <c r="D25" s="13">
        <v>30799.15927106567</v>
      </c>
    </row>
    <row r="26" spans="1:4">
      <c r="A26" s="3" t="s">
        <v>49</v>
      </c>
      <c r="B26" s="13">
        <v>110739.46696957528</v>
      </c>
      <c r="C26" s="13">
        <v>108184.17048954403</v>
      </c>
      <c r="D26" s="13">
        <v>133725.70426327112</v>
      </c>
    </row>
    <row r="27" spans="1:4">
      <c r="A27" s="3"/>
      <c r="B27" s="13"/>
      <c r="C27" s="13"/>
      <c r="D27" s="13"/>
    </row>
    <row r="28" spans="1:4">
      <c r="A28" s="3" t="s">
        <v>50</v>
      </c>
      <c r="B28" s="13">
        <v>1060024.94830772</v>
      </c>
      <c r="C28" s="13">
        <v>1061496.4563898025</v>
      </c>
      <c r="D28" s="13">
        <v>1459390.9991326672</v>
      </c>
    </row>
    <row r="29" spans="1:4">
      <c r="A29" s="3"/>
      <c r="B29" s="13"/>
      <c r="C29" s="13"/>
      <c r="D29" s="13"/>
    </row>
    <row r="30" spans="1:4">
      <c r="A30" s="3" t="s">
        <v>51</v>
      </c>
      <c r="B30" s="13">
        <v>76457.716697529962</v>
      </c>
      <c r="C30" s="13">
        <v>61465.390653776769</v>
      </c>
      <c r="D30" s="13">
        <v>86234.688811894477</v>
      </c>
    </row>
    <row r="31" spans="1:4">
      <c r="A31" s="3" t="s">
        <v>52</v>
      </c>
      <c r="B31" s="13">
        <v>70609.3685415527</v>
      </c>
      <c r="C31" s="13">
        <v>84089.551169165497</v>
      </c>
      <c r="D31" s="13">
        <v>114005.67184981525</v>
      </c>
    </row>
    <row r="32" spans="1:4">
      <c r="A32" s="3" t="s">
        <v>53</v>
      </c>
      <c r="B32" s="13">
        <v>407858.98074667901</v>
      </c>
      <c r="C32" s="13">
        <v>401238.80166685599</v>
      </c>
      <c r="D32" s="13">
        <v>541496.54396659392</v>
      </c>
    </row>
    <row r="33" spans="1:4">
      <c r="A33" s="3" t="s">
        <v>54</v>
      </c>
      <c r="B33" s="13">
        <f>B35-SUM(B28:B32)</f>
        <v>245328.9857065184</v>
      </c>
      <c r="C33" s="13">
        <f>C35-SUM(C28:C32)</f>
        <v>394098.80012039933</v>
      </c>
      <c r="D33" s="13">
        <f>D35-SUM(D28:D32)</f>
        <v>403166.09623902943</v>
      </c>
    </row>
    <row r="34" spans="1:4">
      <c r="A34" s="3"/>
      <c r="B34" s="13"/>
      <c r="C34" s="13"/>
      <c r="D34" s="13"/>
    </row>
    <row r="35" spans="1:4">
      <c r="A35" s="1" t="s">
        <v>55</v>
      </c>
      <c r="B35" s="15">
        <v>1860280</v>
      </c>
      <c r="C35" s="15">
        <v>2002389</v>
      </c>
      <c r="D35" s="15">
        <v>2604294</v>
      </c>
    </row>
  </sheetData>
  <phoneticPr fontId="4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49D62-BF40-422B-83F9-B925B0F85A7D}">
  <dimension ref="A1:G31"/>
  <sheetViews>
    <sheetView topLeftCell="A19" workbookViewId="0">
      <selection activeCell="X5" sqref="X5:Y46"/>
    </sheetView>
  </sheetViews>
  <sheetFormatPr defaultRowHeight="18"/>
  <sheetData>
    <row r="1" spans="1:7">
      <c r="A1" t="s">
        <v>56</v>
      </c>
    </row>
    <row r="2" spans="1:7">
      <c r="A2" s="13" t="s">
        <v>57</v>
      </c>
      <c r="B2" s="13"/>
      <c r="C2" s="13"/>
      <c r="D2" s="13"/>
      <c r="E2" s="13"/>
      <c r="F2" s="13"/>
      <c r="G2" s="13"/>
    </row>
    <row r="3" spans="1:7">
      <c r="A3" s="15"/>
      <c r="B3" s="15" t="s">
        <v>58</v>
      </c>
      <c r="C3" s="15" t="s">
        <v>59</v>
      </c>
      <c r="D3" s="15" t="s">
        <v>60</v>
      </c>
      <c r="E3" s="15" t="s">
        <v>61</v>
      </c>
      <c r="F3" s="15" t="s">
        <v>62</v>
      </c>
      <c r="G3" s="15" t="s">
        <v>63</v>
      </c>
    </row>
    <row r="4" spans="1:7">
      <c r="A4" s="13">
        <v>1994</v>
      </c>
      <c r="B4" s="13">
        <v>973605.43924351514</v>
      </c>
      <c r="C4" s="13">
        <v>99507.996979551914</v>
      </c>
      <c r="D4" s="13">
        <v>143865.40938226687</v>
      </c>
      <c r="E4" s="13">
        <v>19906.624735067231</v>
      </c>
      <c r="F4" s="13">
        <v>21380.305442813133</v>
      </c>
      <c r="G4" s="13">
        <v>59442.224216785798</v>
      </c>
    </row>
    <row r="5" spans="1:7">
      <c r="A5" s="13">
        <v>1995</v>
      </c>
      <c r="B5" s="13">
        <v>1038768.7061498726</v>
      </c>
      <c r="C5" s="13">
        <v>106168.05238303629</v>
      </c>
      <c r="D5" s="13">
        <v>153494.29978519349</v>
      </c>
      <c r="E5" s="13">
        <v>21238.972160964713</v>
      </c>
      <c r="F5" s="13">
        <v>22811.286098788099</v>
      </c>
      <c r="G5" s="13">
        <v>63420.683422144801</v>
      </c>
    </row>
    <row r="6" spans="1:7">
      <c r="A6" s="13">
        <v>1996</v>
      </c>
      <c r="B6" s="13">
        <v>1126125.1953623537</v>
      </c>
      <c r="C6" s="13">
        <v>115096.38095878252</v>
      </c>
      <c r="D6" s="13">
        <v>166402.5853967818</v>
      </c>
      <c r="E6" s="13">
        <v>23025.088773333868</v>
      </c>
      <c r="F6" s="13">
        <v>24729.628320895914</v>
      </c>
      <c r="G6" s="13">
        <v>68754.12118785223</v>
      </c>
    </row>
    <row r="7" spans="1:7">
      <c r="A7" s="13">
        <v>1997</v>
      </c>
      <c r="B7" s="13">
        <v>1169298.4272360897</v>
      </c>
      <c r="C7" s="13">
        <v>119508.93008158452</v>
      </c>
      <c r="D7" s="13">
        <v>172782.10468407811</v>
      </c>
      <c r="E7" s="13">
        <v>23907.821439842264</v>
      </c>
      <c r="F7" s="13">
        <v>25677.709388654821</v>
      </c>
      <c r="G7" s="13">
        <v>71390.007169750519</v>
      </c>
    </row>
    <row r="8" spans="1:7">
      <c r="A8" s="13">
        <v>1998</v>
      </c>
      <c r="B8" s="13">
        <v>1161179.8026497569</v>
      </c>
      <c r="C8" s="13">
        <v>118679.16061003899</v>
      </c>
      <c r="D8" s="13">
        <v>171582.4511050664</v>
      </c>
      <c r="E8" s="13">
        <v>23741.825640629602</v>
      </c>
      <c r="F8" s="13">
        <v>25499.424976474256</v>
      </c>
      <c r="G8" s="13">
        <v>70894.33501803402</v>
      </c>
    </row>
    <row r="9" spans="1:7">
      <c r="A9" s="13">
        <v>1999</v>
      </c>
      <c r="B9" s="13">
        <v>1149962.3874268129</v>
      </c>
      <c r="C9" s="13">
        <v>117532.67716291446</v>
      </c>
      <c r="D9" s="13">
        <v>169924.90281269694</v>
      </c>
      <c r="E9" s="13">
        <v>23512.471051655572</v>
      </c>
      <c r="F9" s="13">
        <v>25253.091344719123</v>
      </c>
      <c r="G9" s="13">
        <v>70209.470201201126</v>
      </c>
    </row>
    <row r="10" spans="1:7">
      <c r="A10" s="13">
        <v>2000</v>
      </c>
      <c r="B10" s="13">
        <v>1152607.5162964044</v>
      </c>
      <c r="C10" s="13">
        <v>117803.02433329425</v>
      </c>
      <c r="D10" s="13">
        <v>170315.76191470475</v>
      </c>
      <c r="E10" s="13">
        <v>23566.554138767089</v>
      </c>
      <c r="F10" s="13">
        <v>25311.178184508572</v>
      </c>
      <c r="G10" s="13">
        <v>70370.965132320984</v>
      </c>
    </row>
    <row r="11" spans="1:7">
      <c r="A11" s="13">
        <v>2001</v>
      </c>
      <c r="B11" s="13">
        <v>1173637.7685352829</v>
      </c>
      <c r="C11" s="13">
        <v>119952.43536975223</v>
      </c>
      <c r="D11" s="13">
        <v>173423.31013270712</v>
      </c>
      <c r="E11" s="13">
        <v>23996.544895318781</v>
      </c>
      <c r="F11" s="13">
        <v>25773.00101158315</v>
      </c>
      <c r="G11" s="13">
        <v>71654.940055355808</v>
      </c>
    </row>
    <row r="12" spans="1:7">
      <c r="A12" s="13">
        <v>2002</v>
      </c>
      <c r="B12" s="13">
        <v>1158907.0606377837</v>
      </c>
      <c r="C12" s="13">
        <v>118446.87348822664</v>
      </c>
      <c r="D12" s="13">
        <v>171246.617977196</v>
      </c>
      <c r="E12" s="13">
        <v>23695.356485334905</v>
      </c>
      <c r="F12" s="13">
        <v>25449.515725303212</v>
      </c>
      <c r="G12" s="13">
        <v>70755.575686155615</v>
      </c>
    </row>
    <row r="13" spans="1:7">
      <c r="A13" s="13">
        <v>2003</v>
      </c>
      <c r="B13" s="13">
        <v>1153202.3008606562</v>
      </c>
      <c r="C13" s="13">
        <v>117863.81468864501</v>
      </c>
      <c r="D13" s="13">
        <v>170403.65062339645</v>
      </c>
      <c r="E13" s="13">
        <v>23578.715279863394</v>
      </c>
      <c r="F13" s="13">
        <v>25324.239610774075</v>
      </c>
      <c r="G13" s="13">
        <v>70407.278936664981</v>
      </c>
    </row>
    <row r="14" spans="1:7">
      <c r="A14" s="13">
        <v>2004</v>
      </c>
      <c r="B14" s="13">
        <v>1179261.9922658224</v>
      </c>
      <c r="C14" s="13">
        <v>120527.26292867148</v>
      </c>
      <c r="D14" s="13">
        <v>174254.37702781425</v>
      </c>
      <c r="E14" s="13">
        <v>24111.539436964831</v>
      </c>
      <c r="F14" s="13">
        <v>25896.508560319817</v>
      </c>
      <c r="G14" s="13">
        <v>71998.319780407328</v>
      </c>
    </row>
    <row r="15" spans="1:7">
      <c r="A15" s="13">
        <v>2005</v>
      </c>
      <c r="B15" s="13">
        <v>1238858.3508982169</v>
      </c>
      <c r="C15" s="13">
        <v>114072.81818422781</v>
      </c>
      <c r="D15" s="13">
        <v>180435.88874018157</v>
      </c>
      <c r="E15" s="13">
        <v>23598.825114610401</v>
      </c>
      <c r="F15" s="13">
        <v>18913.484247603261</v>
      </c>
      <c r="G15" s="13">
        <v>56154.632815159937</v>
      </c>
    </row>
    <row r="16" spans="1:7">
      <c r="A16" s="13">
        <v>2006</v>
      </c>
      <c r="B16" s="13">
        <v>1272821.2218654486</v>
      </c>
      <c r="C16" s="13">
        <v>145258.02940751181</v>
      </c>
      <c r="D16" s="13">
        <v>188459.85384769065</v>
      </c>
      <c r="E16" s="13">
        <v>24597.698465383091</v>
      </c>
      <c r="F16" s="13">
        <v>19962.540799307695</v>
      </c>
      <c r="G16" s="13">
        <v>92056.655614658055</v>
      </c>
    </row>
    <row r="17" spans="1:7">
      <c r="A17" s="13">
        <v>2007</v>
      </c>
      <c r="B17" s="13">
        <v>1212683.8540175015</v>
      </c>
      <c r="C17" s="13">
        <v>115661.64497177962</v>
      </c>
      <c r="D17" s="13">
        <v>240594.48347721028</v>
      </c>
      <c r="E17" s="13">
        <v>54409.155297995545</v>
      </c>
      <c r="F17" s="13">
        <v>28826.139725891189</v>
      </c>
      <c r="G17" s="13">
        <v>86088.722509621759</v>
      </c>
    </row>
    <row r="18" spans="1:7">
      <c r="A18" s="13">
        <v>2008</v>
      </c>
      <c r="B18" s="13">
        <v>1210233.2008398059</v>
      </c>
      <c r="C18" s="13">
        <v>136424.16215176738</v>
      </c>
      <c r="D18" s="13">
        <v>232878.7702945075</v>
      </c>
      <c r="E18" s="13">
        <v>62105.249175636047</v>
      </c>
      <c r="F18" s="13">
        <v>23335.116820861254</v>
      </c>
      <c r="G18" s="13">
        <v>81592.500717422037</v>
      </c>
    </row>
    <row r="19" spans="1:7">
      <c r="A19" s="13">
        <v>2009</v>
      </c>
      <c r="B19" s="13">
        <v>1136991.6904619341</v>
      </c>
      <c r="C19" s="13">
        <v>134789.99060890483</v>
      </c>
      <c r="D19" s="13">
        <v>219651.86785331956</v>
      </c>
      <c r="E19" s="13">
        <v>57273.175600260241</v>
      </c>
      <c r="F19" s="13">
        <v>20899.976705003486</v>
      </c>
      <c r="G19" s="13">
        <v>60494.298770577858</v>
      </c>
    </row>
    <row r="20" spans="1:7">
      <c r="A20" s="13">
        <v>2010</v>
      </c>
      <c r="B20" s="13">
        <v>1315763.4176002394</v>
      </c>
      <c r="C20" s="13">
        <v>96308.719856264288</v>
      </c>
      <c r="D20" s="13">
        <v>248184.5174621591</v>
      </c>
      <c r="E20" s="13">
        <v>13144.23604450832</v>
      </c>
      <c r="F20" s="13">
        <v>30258.161753202523</v>
      </c>
      <c r="G20" s="13">
        <v>61790.947283626345</v>
      </c>
    </row>
    <row r="21" spans="1:7">
      <c r="A21" s="13">
        <v>2011</v>
      </c>
      <c r="B21" s="13">
        <v>1337351.2501702623</v>
      </c>
      <c r="C21" s="13">
        <v>106024.91950821099</v>
      </c>
      <c r="D21" s="13">
        <v>310877.00563785608</v>
      </c>
      <c r="E21" s="13">
        <v>13907.780855868543</v>
      </c>
      <c r="F21" s="13">
        <v>19907.178378489094</v>
      </c>
      <c r="G21" s="13">
        <v>72211.86544931306</v>
      </c>
    </row>
    <row r="22" spans="1:7">
      <c r="A22" s="13">
        <v>2012</v>
      </c>
      <c r="B22" s="13">
        <v>1337388.0473316398</v>
      </c>
      <c r="C22" s="13">
        <v>135917.85928860272</v>
      </c>
      <c r="D22" s="13">
        <v>353781.90434128203</v>
      </c>
      <c r="E22" s="13">
        <v>20717.323657576235</v>
      </c>
      <c r="F22" s="13">
        <v>30391.849663075522</v>
      </c>
      <c r="G22" s="13">
        <v>68348.015717823757</v>
      </c>
    </row>
    <row r="23" spans="1:7">
      <c r="A23" s="13">
        <v>2013</v>
      </c>
      <c r="B23" s="13">
        <v>1252339.5857271235</v>
      </c>
      <c r="C23" s="13">
        <v>193270.62076831711</v>
      </c>
      <c r="D23" s="13">
        <v>370875.75043204485</v>
      </c>
      <c r="E23" s="13">
        <v>20252.880705348558</v>
      </c>
      <c r="F23" s="13">
        <v>32802.228471598159</v>
      </c>
      <c r="G23" s="13">
        <v>88669.933895567679</v>
      </c>
    </row>
    <row r="24" spans="1:7">
      <c r="A24" s="13">
        <v>2014</v>
      </c>
      <c r="B24" s="13">
        <v>1401177.4366002113</v>
      </c>
      <c r="C24" s="13">
        <v>121408.35455771403</v>
      </c>
      <c r="D24" s="13">
        <v>382061.1063891825</v>
      </c>
      <c r="E24" s="13">
        <v>24083.90654954988</v>
      </c>
      <c r="F24" s="13">
        <v>26821.791595291033</v>
      </c>
      <c r="G24" s="13">
        <v>88511.404308051176</v>
      </c>
    </row>
    <row r="25" spans="1:7">
      <c r="A25" s="13">
        <v>2015</v>
      </c>
      <c r="B25" s="13">
        <v>1303642.2178050005</v>
      </c>
      <c r="C25" s="13">
        <v>119669.95093551613</v>
      </c>
      <c r="D25" s="13">
        <v>427371.14927153056</v>
      </c>
      <c r="E25" s="13">
        <v>30503.042502930624</v>
      </c>
      <c r="F25" s="13">
        <v>32403.237588616492</v>
      </c>
      <c r="G25" s="13">
        <v>88799.401896405616</v>
      </c>
    </row>
    <row r="26" spans="1:7">
      <c r="A26" s="13">
        <v>2016</v>
      </c>
      <c r="B26" s="13">
        <v>1254450.4427226395</v>
      </c>
      <c r="C26" s="13">
        <v>129096.25891538779</v>
      </c>
      <c r="D26" s="13">
        <v>433129.3410421728</v>
      </c>
      <c r="E26" s="13">
        <v>29811.513151431449</v>
      </c>
      <c r="F26" s="13">
        <v>31663.862130794019</v>
      </c>
      <c r="G26" s="13">
        <v>95865.582037574262</v>
      </c>
    </row>
    <row r="27" spans="1:7">
      <c r="A27" s="13">
        <v>2017</v>
      </c>
      <c r="B27" s="13">
        <v>1302110.3948726619</v>
      </c>
      <c r="C27" s="13">
        <v>163331.42097569688</v>
      </c>
      <c r="D27" s="13">
        <v>439901.35027537524</v>
      </c>
      <c r="E27" s="13">
        <v>23629.232197424739</v>
      </c>
      <c r="F27" s="13">
        <v>48482.589121621895</v>
      </c>
      <c r="G27" s="13">
        <v>67483.012557219277</v>
      </c>
    </row>
    <row r="28" spans="1:7">
      <c r="A28" s="13">
        <v>2018</v>
      </c>
      <c r="B28" s="13">
        <v>1277789.764402854</v>
      </c>
      <c r="C28" s="13">
        <v>115561.84788943343</v>
      </c>
      <c r="D28" s="13">
        <v>409160.40804790333</v>
      </c>
      <c r="E28" s="13">
        <v>27794.155842822503</v>
      </c>
      <c r="F28" s="13">
        <v>25329.290176859409</v>
      </c>
      <c r="G28" s="13">
        <v>156894.53364012719</v>
      </c>
    </row>
    <row r="29" spans="1:7">
      <c r="A29" s="13">
        <v>2019</v>
      </c>
      <c r="B29" s="13">
        <v>1619456.9113617607</v>
      </c>
      <c r="C29" s="13">
        <v>141576.59997541632</v>
      </c>
      <c r="D29" s="13">
        <v>470756.02745880769</v>
      </c>
      <c r="E29" s="13">
        <v>34655.076257426321</v>
      </c>
      <c r="F29" s="13">
        <v>27149.736842166876</v>
      </c>
      <c r="G29" s="13">
        <v>200569.64810442211</v>
      </c>
    </row>
    <row r="30" spans="1:7">
      <c r="A30" s="13">
        <v>2020</v>
      </c>
      <c r="B30" s="13">
        <v>1420120.5011536966</v>
      </c>
      <c r="C30" s="13">
        <v>147739.80802180982</v>
      </c>
      <c r="D30" s="13">
        <v>448473.8999901003</v>
      </c>
      <c r="E30" s="13">
        <v>18505.064005421995</v>
      </c>
      <c r="F30" s="13">
        <v>22542.342347144695</v>
      </c>
      <c r="G30" s="13">
        <v>346208.38448182645</v>
      </c>
    </row>
    <row r="31" spans="1:7">
      <c r="A31" s="15">
        <v>2021</v>
      </c>
      <c r="B31" s="15">
        <v>1643599.4021550643</v>
      </c>
      <c r="C31" s="15">
        <v>145044.77886597376</v>
      </c>
      <c r="D31" s="15">
        <v>524704.29990947864</v>
      </c>
      <c r="E31" s="15">
        <v>30365.32527729003</v>
      </c>
      <c r="F31" s="15">
        <v>26373.421120938805</v>
      </c>
      <c r="G31" s="15">
        <v>234206.77267125453</v>
      </c>
    </row>
  </sheetData>
  <phoneticPr fontId="4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統計表</vt:lpstr>
      <vt:lpstr>U表2011-2021</vt:lpstr>
      <vt:lpstr>供給表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Ishikawa</dc:creator>
  <cp:lastModifiedBy>Takayuki Ishikawa</cp:lastModifiedBy>
  <dcterms:created xsi:type="dcterms:W3CDTF">2015-06-05T18:19:34Z</dcterms:created>
  <dcterms:modified xsi:type="dcterms:W3CDTF">2026-05-28T05:50:53Z</dcterms:modified>
</cp:coreProperties>
</file>